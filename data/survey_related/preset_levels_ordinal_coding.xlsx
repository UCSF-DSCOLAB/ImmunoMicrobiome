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i_\Box Sync\UCSF Projects\202008_Immunomicrobiome\Data\SurveyData\"/>
    </mc:Choice>
  </mc:AlternateContent>
  <xr:revisionPtr revIDLastSave="0" documentId="13_ncr:1_{63C21476-CF3B-42D4-9AD8-B695A0FF8205}" xr6:coauthVersionLast="45" xr6:coauthVersionMax="45" xr10:uidLastSave="{00000000-0000-0000-0000-000000000000}"/>
  <bookViews>
    <workbookView xWindow="975" yWindow="1005" windowWidth="21600" windowHeight="13935" xr2:uid="{00000000-000D-0000-FFFF-FFFF00000000}"/>
  </bookViews>
  <sheets>
    <sheet name="preset_levels_ord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936" i="1" l="1"/>
  <c r="E941" i="1" s="1"/>
  <c r="E946" i="1" s="1"/>
  <c r="E951" i="1" s="1"/>
  <c r="E956" i="1" s="1"/>
  <c r="E961" i="1" s="1"/>
  <c r="E966" i="1" s="1"/>
  <c r="F932" i="1"/>
  <c r="F933" i="1"/>
  <c r="F934" i="1"/>
  <c r="F935" i="1"/>
  <c r="F931" i="1"/>
  <c r="F936" i="1" s="1"/>
  <c r="F941" i="1" s="1"/>
  <c r="F946" i="1" s="1"/>
  <c r="F951" i="1" s="1"/>
  <c r="F956" i="1" s="1"/>
  <c r="F961" i="1" s="1"/>
  <c r="F966" i="1" s="1"/>
  <c r="F938" i="1" l="1"/>
  <c r="F943" i="1" s="1"/>
  <c r="F948" i="1" s="1"/>
  <c r="F953" i="1" s="1"/>
  <c r="F958" i="1" s="1"/>
  <c r="F963" i="1" s="1"/>
  <c r="F968" i="1" s="1"/>
  <c r="F939" i="1"/>
  <c r="F944" i="1" s="1"/>
  <c r="F949" i="1" s="1"/>
  <c r="F954" i="1" s="1"/>
  <c r="F959" i="1" s="1"/>
  <c r="F964" i="1" s="1"/>
  <c r="F969" i="1" s="1"/>
  <c r="F940" i="1"/>
  <c r="F945" i="1" s="1"/>
  <c r="F950" i="1" s="1"/>
  <c r="F955" i="1" s="1"/>
  <c r="F960" i="1" s="1"/>
  <c r="F965" i="1" s="1"/>
  <c r="F970" i="1" s="1"/>
  <c r="F937" i="1"/>
  <c r="F942" i="1" s="1"/>
  <c r="F947" i="1" s="1"/>
  <c r="F952" i="1" s="1"/>
  <c r="F957" i="1" s="1"/>
  <c r="F962" i="1" s="1"/>
  <c r="F967" i="1" s="1"/>
  <c r="F921" i="1"/>
  <c r="F922" i="1"/>
  <c r="F920" i="1"/>
  <c r="E573" i="1"/>
  <c r="E572" i="1"/>
  <c r="E571" i="1"/>
  <c r="F551" i="1"/>
  <c r="F556" i="1" s="1"/>
  <c r="F561" i="1" s="1"/>
  <c r="F552" i="1"/>
  <c r="F557" i="1" s="1"/>
  <c r="F562" i="1" s="1"/>
  <c r="F553" i="1"/>
  <c r="F558" i="1" s="1"/>
  <c r="F563" i="1" s="1"/>
  <c r="F554" i="1"/>
  <c r="F559" i="1" s="1"/>
  <c r="F564" i="1" s="1"/>
  <c r="F550" i="1"/>
  <c r="F555" i="1" s="1"/>
  <c r="F560" i="1" s="1"/>
  <c r="F538" i="1"/>
  <c r="F539" i="1"/>
  <c r="F540" i="1"/>
  <c r="F541" i="1"/>
  <c r="F542" i="1"/>
  <c r="F543" i="1"/>
  <c r="F537" i="1"/>
  <c r="F531" i="1"/>
  <c r="F532" i="1"/>
  <c r="F533" i="1"/>
  <c r="F534" i="1"/>
  <c r="F535" i="1"/>
  <c r="F536" i="1"/>
  <c r="F530" i="1"/>
  <c r="F489" i="1"/>
  <c r="F495" i="1" s="1"/>
  <c r="F501" i="1" s="1"/>
  <c r="F507" i="1" s="1"/>
  <c r="F513" i="1" s="1"/>
  <c r="F519" i="1" s="1"/>
  <c r="F525" i="1" s="1"/>
  <c r="F490" i="1"/>
  <c r="F496" i="1" s="1"/>
  <c r="F502" i="1" s="1"/>
  <c r="F508" i="1" s="1"/>
  <c r="F514" i="1" s="1"/>
  <c r="F520" i="1" s="1"/>
  <c r="F526" i="1" s="1"/>
  <c r="F491" i="1"/>
  <c r="F497" i="1" s="1"/>
  <c r="F503" i="1" s="1"/>
  <c r="F509" i="1" s="1"/>
  <c r="F515" i="1" s="1"/>
  <c r="F521" i="1" s="1"/>
  <c r="F527" i="1" s="1"/>
  <c r="F492" i="1"/>
  <c r="F498" i="1" s="1"/>
  <c r="F504" i="1" s="1"/>
  <c r="F510" i="1" s="1"/>
  <c r="F516" i="1" s="1"/>
  <c r="F522" i="1" s="1"/>
  <c r="F528" i="1" s="1"/>
  <c r="F493" i="1"/>
  <c r="F499" i="1" s="1"/>
  <c r="F505" i="1" s="1"/>
  <c r="F511" i="1" s="1"/>
  <c r="F517" i="1" s="1"/>
  <c r="F523" i="1" s="1"/>
  <c r="F529" i="1" s="1"/>
  <c r="F488" i="1"/>
  <c r="F494" i="1" s="1"/>
  <c r="F500" i="1" s="1"/>
  <c r="F506" i="1" s="1"/>
  <c r="F512" i="1" s="1"/>
  <c r="F518" i="1" s="1"/>
  <c r="F524" i="1" s="1"/>
  <c r="F447" i="1"/>
  <c r="F453" i="1" s="1"/>
  <c r="F459" i="1" s="1"/>
  <c r="F465" i="1" s="1"/>
  <c r="F471" i="1" s="1"/>
  <c r="F477" i="1" s="1"/>
  <c r="F483" i="1" s="1"/>
  <c r="F448" i="1"/>
  <c r="F454" i="1" s="1"/>
  <c r="F460" i="1" s="1"/>
  <c r="F466" i="1" s="1"/>
  <c r="F472" i="1" s="1"/>
  <c r="F478" i="1" s="1"/>
  <c r="F484" i="1" s="1"/>
  <c r="F449" i="1"/>
  <c r="F455" i="1" s="1"/>
  <c r="F461" i="1" s="1"/>
  <c r="F467" i="1" s="1"/>
  <c r="F473" i="1" s="1"/>
  <c r="F479" i="1" s="1"/>
  <c r="F485" i="1" s="1"/>
  <c r="F450" i="1"/>
  <c r="F456" i="1" s="1"/>
  <c r="F462" i="1" s="1"/>
  <c r="F468" i="1" s="1"/>
  <c r="F474" i="1" s="1"/>
  <c r="F480" i="1" s="1"/>
  <c r="F486" i="1" s="1"/>
  <c r="F451" i="1"/>
  <c r="F457" i="1" s="1"/>
  <c r="F463" i="1" s="1"/>
  <c r="F469" i="1" s="1"/>
  <c r="F475" i="1" s="1"/>
  <c r="F481" i="1" s="1"/>
  <c r="F487" i="1" s="1"/>
  <c r="F446" i="1"/>
  <c r="F452" i="1" s="1"/>
  <c r="F458" i="1" s="1"/>
  <c r="F464" i="1" s="1"/>
  <c r="F470" i="1" s="1"/>
  <c r="F476" i="1" s="1"/>
  <c r="F482" i="1" s="1"/>
  <c r="E445" i="1"/>
  <c r="E414" i="1"/>
  <c r="F411" i="1" s="1"/>
  <c r="F416" i="1" s="1"/>
  <c r="F421" i="1" s="1"/>
  <c r="F426" i="1" s="1"/>
  <c r="F431" i="1" s="1"/>
  <c r="F405" i="1"/>
  <c r="F406" i="1"/>
  <c r="F407" i="1"/>
  <c r="F408" i="1"/>
  <c r="F409" i="1"/>
  <c r="F404" i="1"/>
  <c r="F400" i="1"/>
  <c r="F401" i="1"/>
  <c r="F402" i="1"/>
  <c r="F403" i="1"/>
  <c r="F399" i="1"/>
  <c r="E923" i="1"/>
  <c r="E436" i="1"/>
  <c r="E435" i="1"/>
  <c r="F342" i="1"/>
  <c r="F347" i="1" s="1"/>
  <c r="F352" i="1" s="1"/>
  <c r="F357" i="1" s="1"/>
  <c r="F343" i="1"/>
  <c r="F348" i="1" s="1"/>
  <c r="F353" i="1" s="1"/>
  <c r="F358" i="1" s="1"/>
  <c r="F344" i="1"/>
  <c r="F349" i="1" s="1"/>
  <c r="F354" i="1" s="1"/>
  <c r="F359" i="1" s="1"/>
  <c r="F345" i="1"/>
  <c r="F350" i="1" s="1"/>
  <c r="F355" i="1" s="1"/>
  <c r="F360" i="1" s="1"/>
  <c r="F341" i="1"/>
  <c r="F346" i="1" s="1"/>
  <c r="F351" i="1" s="1"/>
  <c r="F356" i="1" s="1"/>
  <c r="F337" i="1"/>
  <c r="F338" i="1"/>
  <c r="F339" i="1"/>
  <c r="F340" i="1"/>
  <c r="F336" i="1"/>
  <c r="E289" i="1"/>
  <c r="E250" i="1"/>
  <c r="E159" i="1"/>
  <c r="F108" i="1"/>
  <c r="F115" i="1" s="1"/>
  <c r="F122" i="1" s="1"/>
  <c r="F129" i="1" s="1"/>
  <c r="F136" i="1" s="1"/>
  <c r="F143" i="1" s="1"/>
  <c r="F150" i="1" s="1"/>
  <c r="F109" i="1"/>
  <c r="F116" i="1" s="1"/>
  <c r="F123" i="1" s="1"/>
  <c r="F130" i="1" s="1"/>
  <c r="F137" i="1" s="1"/>
  <c r="F144" i="1" s="1"/>
  <c r="F151" i="1" s="1"/>
  <c r="F110" i="1"/>
  <c r="F117" i="1" s="1"/>
  <c r="F124" i="1" s="1"/>
  <c r="F131" i="1" s="1"/>
  <c r="F138" i="1" s="1"/>
  <c r="F145" i="1" s="1"/>
  <c r="F152" i="1" s="1"/>
  <c r="F111" i="1"/>
  <c r="F118" i="1" s="1"/>
  <c r="F125" i="1" s="1"/>
  <c r="F132" i="1" s="1"/>
  <c r="F139" i="1" s="1"/>
  <c r="F146" i="1" s="1"/>
  <c r="F153" i="1" s="1"/>
  <c r="F112" i="1"/>
  <c r="F119" i="1" s="1"/>
  <c r="F126" i="1" s="1"/>
  <c r="F133" i="1" s="1"/>
  <c r="F140" i="1" s="1"/>
  <c r="F147" i="1" s="1"/>
  <c r="F154" i="1" s="1"/>
  <c r="F113" i="1"/>
  <c r="F120" i="1" s="1"/>
  <c r="F127" i="1" s="1"/>
  <c r="F134" i="1" s="1"/>
  <c r="F141" i="1" s="1"/>
  <c r="F148" i="1" s="1"/>
  <c r="F155" i="1" s="1"/>
  <c r="F107" i="1"/>
  <c r="F114" i="1" s="1"/>
  <c r="F121" i="1" s="1"/>
  <c r="F128" i="1" s="1"/>
  <c r="F135" i="1" s="1"/>
  <c r="F142" i="1" s="1"/>
  <c r="F149" i="1" s="1"/>
  <c r="F94" i="1"/>
  <c r="F101" i="1" s="1"/>
  <c r="F95" i="1"/>
  <c r="F102" i="1" s="1"/>
  <c r="F96" i="1"/>
  <c r="F103" i="1" s="1"/>
  <c r="F97" i="1"/>
  <c r="F104" i="1" s="1"/>
  <c r="F98" i="1"/>
  <c r="F105" i="1" s="1"/>
  <c r="F99" i="1"/>
  <c r="F106" i="1" s="1"/>
  <c r="F93" i="1"/>
  <c r="F100" i="1" s="1"/>
  <c r="F59" i="1"/>
  <c r="F66" i="1" s="1"/>
  <c r="F73" i="1" s="1"/>
  <c r="F80" i="1" s="1"/>
  <c r="F87" i="1" s="1"/>
  <c r="F60" i="1"/>
  <c r="F67" i="1" s="1"/>
  <c r="F74" i="1" s="1"/>
  <c r="F81" i="1" s="1"/>
  <c r="F88" i="1" s="1"/>
  <c r="F61" i="1"/>
  <c r="F68" i="1" s="1"/>
  <c r="F75" i="1" s="1"/>
  <c r="F82" i="1" s="1"/>
  <c r="F89" i="1" s="1"/>
  <c r="F62" i="1"/>
  <c r="F69" i="1" s="1"/>
  <c r="F76" i="1" s="1"/>
  <c r="F83" i="1" s="1"/>
  <c r="F90" i="1" s="1"/>
  <c r="F63" i="1"/>
  <c r="F70" i="1" s="1"/>
  <c r="F77" i="1" s="1"/>
  <c r="F84" i="1" s="1"/>
  <c r="F91" i="1" s="1"/>
  <c r="F64" i="1"/>
  <c r="F71" i="1" s="1"/>
  <c r="F78" i="1" s="1"/>
  <c r="F85" i="1" s="1"/>
  <c r="F92" i="1" s="1"/>
  <c r="F58" i="1"/>
  <c r="F65" i="1" s="1"/>
  <c r="F72" i="1" s="1"/>
  <c r="F79" i="1" s="1"/>
  <c r="F86" i="1" s="1"/>
  <c r="F3" i="1"/>
  <c r="F10" i="1" s="1"/>
  <c r="F17" i="1" s="1"/>
  <c r="F24" i="1" s="1"/>
  <c r="F31" i="1" s="1"/>
  <c r="F38" i="1" s="1"/>
  <c r="F45" i="1" s="1"/>
  <c r="F52" i="1" s="1"/>
  <c r="F4" i="1"/>
  <c r="F11" i="1" s="1"/>
  <c r="F18" i="1" s="1"/>
  <c r="F25" i="1" s="1"/>
  <c r="F32" i="1" s="1"/>
  <c r="F39" i="1" s="1"/>
  <c r="F46" i="1" s="1"/>
  <c r="F53" i="1" s="1"/>
  <c r="F5" i="1"/>
  <c r="F12" i="1" s="1"/>
  <c r="F19" i="1" s="1"/>
  <c r="F26" i="1" s="1"/>
  <c r="F33" i="1" s="1"/>
  <c r="F40" i="1" s="1"/>
  <c r="F47" i="1" s="1"/>
  <c r="F54" i="1" s="1"/>
  <c r="F6" i="1"/>
  <c r="F13" i="1" s="1"/>
  <c r="F20" i="1" s="1"/>
  <c r="F27" i="1" s="1"/>
  <c r="F34" i="1" s="1"/>
  <c r="F41" i="1" s="1"/>
  <c r="F48" i="1" s="1"/>
  <c r="F55" i="1" s="1"/>
  <c r="F7" i="1"/>
  <c r="F14" i="1" s="1"/>
  <c r="F21" i="1" s="1"/>
  <c r="F28" i="1" s="1"/>
  <c r="F35" i="1" s="1"/>
  <c r="F42" i="1" s="1"/>
  <c r="F49" i="1" s="1"/>
  <c r="F56" i="1" s="1"/>
  <c r="F8" i="1"/>
  <c r="F15" i="1" s="1"/>
  <c r="F22" i="1" s="1"/>
  <c r="F29" i="1" s="1"/>
  <c r="F36" i="1" s="1"/>
  <c r="F43" i="1" s="1"/>
  <c r="F50" i="1" s="1"/>
  <c r="F57" i="1" s="1"/>
  <c r="F2" i="1"/>
  <c r="F9" i="1" s="1"/>
  <c r="F16" i="1" s="1"/>
  <c r="F23" i="1" s="1"/>
  <c r="F30" i="1" s="1"/>
  <c r="F37" i="1" s="1"/>
  <c r="F44" i="1" s="1"/>
  <c r="F51" i="1" s="1"/>
  <c r="F439" i="1" l="1"/>
  <c r="F435" i="1"/>
  <c r="F437" i="1"/>
  <c r="F436" i="1"/>
  <c r="F440" i="1"/>
  <c r="F438" i="1"/>
  <c r="F414" i="1"/>
  <c r="F419" i="1" s="1"/>
  <c r="F424" i="1" s="1"/>
  <c r="F429" i="1" s="1"/>
  <c r="F434" i="1" s="1"/>
  <c r="F413" i="1"/>
  <c r="F418" i="1" s="1"/>
  <c r="F423" i="1" s="1"/>
  <c r="F428" i="1" s="1"/>
  <c r="F433" i="1" s="1"/>
  <c r="F410" i="1"/>
  <c r="F415" i="1" s="1"/>
  <c r="F420" i="1" s="1"/>
  <c r="F425" i="1" s="1"/>
  <c r="F430" i="1" s="1"/>
  <c r="F412" i="1"/>
  <c r="F417" i="1" s="1"/>
  <c r="F422" i="1" s="1"/>
  <c r="F427" i="1" s="1"/>
  <c r="F432" i="1" s="1"/>
  <c r="E583" i="1"/>
  <c r="E593" i="1" s="1"/>
  <c r="E603" i="1" s="1"/>
  <c r="E613" i="1" s="1"/>
  <c r="E623" i="1" s="1"/>
  <c r="E633" i="1" s="1"/>
  <c r="E643" i="1" s="1"/>
  <c r="E653" i="1" s="1"/>
  <c r="E663" i="1" s="1"/>
  <c r="E673" i="1" s="1"/>
  <c r="E683" i="1" s="1"/>
  <c r="E693" i="1" s="1"/>
  <c r="E703" i="1" s="1"/>
  <c r="E713" i="1" s="1"/>
  <c r="E584" i="1"/>
  <c r="E594" i="1" s="1"/>
  <c r="E604" i="1" s="1"/>
  <c r="E614" i="1" s="1"/>
  <c r="E624" i="1" s="1"/>
  <c r="E634" i="1" s="1"/>
  <c r="E644" i="1" s="1"/>
  <c r="E654" i="1" s="1"/>
  <c r="E664" i="1" s="1"/>
  <c r="E674" i="1" s="1"/>
  <c r="E684" i="1" s="1"/>
  <c r="E694" i="1" s="1"/>
  <c r="E704" i="1" s="1"/>
  <c r="E714" i="1" s="1"/>
  <c r="E582" i="1"/>
  <c r="E592" i="1" s="1"/>
  <c r="E602" i="1" s="1"/>
  <c r="E612" i="1" s="1"/>
  <c r="E622" i="1" s="1"/>
  <c r="E632" i="1" s="1"/>
  <c r="E642" i="1" s="1"/>
  <c r="E652" i="1" s="1"/>
  <c r="E662" i="1" s="1"/>
  <c r="E672" i="1" s="1"/>
  <c r="E682" i="1" s="1"/>
  <c r="E692" i="1" s="1"/>
  <c r="E702" i="1" s="1"/>
  <c r="E712" i="1" s="1"/>
  <c r="E581" i="1"/>
  <c r="E591" i="1" s="1"/>
  <c r="E601" i="1" s="1"/>
  <c r="E611" i="1" s="1"/>
  <c r="E621" i="1" s="1"/>
  <c r="E631" i="1" s="1"/>
  <c r="E641" i="1" s="1"/>
  <c r="E651" i="1" s="1"/>
  <c r="E661" i="1" s="1"/>
  <c r="E671" i="1" s="1"/>
  <c r="E681" i="1" s="1"/>
  <c r="E691" i="1" s="1"/>
  <c r="E701" i="1" s="1"/>
  <c r="E711" i="1" s="1"/>
  <c r="E570" i="1"/>
  <c r="E569" i="1"/>
  <c r="E568" i="1"/>
  <c r="E578" i="1" s="1"/>
  <c r="E588" i="1" s="1"/>
  <c r="E598" i="1" s="1"/>
  <c r="E608" i="1" s="1"/>
  <c r="E618" i="1" s="1"/>
  <c r="E628" i="1" s="1"/>
  <c r="E638" i="1" s="1"/>
  <c r="E648" i="1" s="1"/>
  <c r="E658" i="1" s="1"/>
  <c r="E668" i="1" s="1"/>
  <c r="E678" i="1" s="1"/>
  <c r="E688" i="1" s="1"/>
  <c r="E698" i="1" s="1"/>
  <c r="E708" i="1" s="1"/>
  <c r="E567" i="1"/>
  <c r="E566" i="1"/>
  <c r="E565" i="1"/>
  <c r="E938" i="1"/>
  <c r="E943" i="1" s="1"/>
  <c r="E948" i="1" s="1"/>
  <c r="E953" i="1" s="1"/>
  <c r="E958" i="1" s="1"/>
  <c r="E963" i="1" s="1"/>
  <c r="E968" i="1" s="1"/>
  <c r="E939" i="1"/>
  <c r="E944" i="1" s="1"/>
  <c r="E949" i="1" s="1"/>
  <c r="E954" i="1" s="1"/>
  <c r="E959" i="1" s="1"/>
  <c r="E964" i="1" s="1"/>
  <c r="E969" i="1" s="1"/>
  <c r="E940" i="1"/>
  <c r="E945" i="1" s="1"/>
  <c r="E950" i="1" s="1"/>
  <c r="E955" i="1" s="1"/>
  <c r="E960" i="1" s="1"/>
  <c r="E965" i="1" s="1"/>
  <c r="E970" i="1" s="1"/>
  <c r="E937" i="1"/>
  <c r="E930" i="1"/>
  <c r="E929" i="1"/>
  <c r="E928" i="1"/>
  <c r="E927" i="1"/>
  <c r="E856" i="1"/>
  <c r="E861" i="1" s="1"/>
  <c r="E866" i="1" s="1"/>
  <c r="E871" i="1" s="1"/>
  <c r="E876" i="1" s="1"/>
  <c r="E881" i="1" s="1"/>
  <c r="E886" i="1" s="1"/>
  <c r="E891" i="1" s="1"/>
  <c r="E896" i="1" s="1"/>
  <c r="E901" i="1" s="1"/>
  <c r="E906" i="1" s="1"/>
  <c r="E911" i="1" s="1"/>
  <c r="E916" i="1" s="1"/>
  <c r="E857" i="1"/>
  <c r="E862" i="1" s="1"/>
  <c r="E867" i="1" s="1"/>
  <c r="E872" i="1" s="1"/>
  <c r="E877" i="1" s="1"/>
  <c r="E882" i="1" s="1"/>
  <c r="E887" i="1" s="1"/>
  <c r="E892" i="1" s="1"/>
  <c r="E897" i="1" s="1"/>
  <c r="E902" i="1" s="1"/>
  <c r="E907" i="1" s="1"/>
  <c r="E912" i="1" s="1"/>
  <c r="E917" i="1" s="1"/>
  <c r="E858" i="1"/>
  <c r="E863" i="1" s="1"/>
  <c r="E868" i="1" s="1"/>
  <c r="E873" i="1" s="1"/>
  <c r="E878" i="1" s="1"/>
  <c r="E883" i="1" s="1"/>
  <c r="E888" i="1" s="1"/>
  <c r="E893" i="1" s="1"/>
  <c r="E898" i="1" s="1"/>
  <c r="E903" i="1" s="1"/>
  <c r="E908" i="1" s="1"/>
  <c r="E913" i="1" s="1"/>
  <c r="E918" i="1" s="1"/>
  <c r="E859" i="1"/>
  <c r="E864" i="1" s="1"/>
  <c r="E869" i="1" s="1"/>
  <c r="E874" i="1" s="1"/>
  <c r="E879" i="1" s="1"/>
  <c r="E884" i="1" s="1"/>
  <c r="E889" i="1" s="1"/>
  <c r="E894" i="1" s="1"/>
  <c r="E899" i="1" s="1"/>
  <c r="E904" i="1" s="1"/>
  <c r="E909" i="1" s="1"/>
  <c r="E914" i="1" s="1"/>
  <c r="E919" i="1" s="1"/>
  <c r="E850" i="1"/>
  <c r="E725" i="1"/>
  <c r="E734" i="1" s="1"/>
  <c r="E743" i="1" s="1"/>
  <c r="E752" i="1" s="1"/>
  <c r="E761" i="1" s="1"/>
  <c r="E770" i="1" s="1"/>
  <c r="E779" i="1" s="1"/>
  <c r="E788" i="1" s="1"/>
  <c r="E797" i="1" s="1"/>
  <c r="E806" i="1" s="1"/>
  <c r="E815" i="1" s="1"/>
  <c r="E824" i="1" s="1"/>
  <c r="E833" i="1" s="1"/>
  <c r="E842" i="1" s="1"/>
  <c r="E726" i="1"/>
  <c r="E735" i="1" s="1"/>
  <c r="E744" i="1" s="1"/>
  <c r="E753" i="1" s="1"/>
  <c r="E762" i="1" s="1"/>
  <c r="E771" i="1" s="1"/>
  <c r="E780" i="1" s="1"/>
  <c r="E789" i="1" s="1"/>
  <c r="E798" i="1" s="1"/>
  <c r="E807" i="1" s="1"/>
  <c r="E816" i="1" s="1"/>
  <c r="E825" i="1" s="1"/>
  <c r="E834" i="1" s="1"/>
  <c r="E843" i="1" s="1"/>
  <c r="E727" i="1"/>
  <c r="E736" i="1" s="1"/>
  <c r="E745" i="1" s="1"/>
  <c r="E754" i="1" s="1"/>
  <c r="E763" i="1" s="1"/>
  <c r="E772" i="1" s="1"/>
  <c r="E781" i="1" s="1"/>
  <c r="E790" i="1" s="1"/>
  <c r="E799" i="1" s="1"/>
  <c r="E808" i="1" s="1"/>
  <c r="E817" i="1" s="1"/>
  <c r="E826" i="1" s="1"/>
  <c r="E835" i="1" s="1"/>
  <c r="E844" i="1" s="1"/>
  <c r="E728" i="1"/>
  <c r="E737" i="1" s="1"/>
  <c r="E746" i="1" s="1"/>
  <c r="E755" i="1" s="1"/>
  <c r="E764" i="1" s="1"/>
  <c r="E773" i="1" s="1"/>
  <c r="E782" i="1" s="1"/>
  <c r="E791" i="1" s="1"/>
  <c r="E800" i="1" s="1"/>
  <c r="E809" i="1" s="1"/>
  <c r="E818" i="1" s="1"/>
  <c r="E827" i="1" s="1"/>
  <c r="E836" i="1" s="1"/>
  <c r="E845" i="1" s="1"/>
  <c r="E724" i="1"/>
  <c r="E733" i="1" s="1"/>
  <c r="E742" i="1" s="1"/>
  <c r="E751" i="1" s="1"/>
  <c r="E760" i="1" s="1"/>
  <c r="E769" i="1" s="1"/>
  <c r="E778" i="1" s="1"/>
  <c r="E787" i="1" s="1"/>
  <c r="E796" i="1" s="1"/>
  <c r="E805" i="1" s="1"/>
  <c r="E814" i="1" s="1"/>
  <c r="E823" i="1" s="1"/>
  <c r="E832" i="1" s="1"/>
  <c r="E841" i="1" s="1"/>
  <c r="E723" i="1"/>
  <c r="E722" i="1"/>
  <c r="E721" i="1"/>
  <c r="E720" i="1"/>
  <c r="E556" i="1"/>
  <c r="E561" i="1" s="1"/>
  <c r="E557" i="1"/>
  <c r="E562" i="1" s="1"/>
  <c r="E558" i="1"/>
  <c r="E563" i="1" s="1"/>
  <c r="E559" i="1"/>
  <c r="E564" i="1" s="1"/>
  <c r="E555" i="1"/>
  <c r="E560" i="1" s="1"/>
  <c r="E548" i="1"/>
  <c r="E547" i="1"/>
  <c r="E546" i="1"/>
  <c r="E545" i="1"/>
  <c r="E495" i="1"/>
  <c r="E501" i="1" s="1"/>
  <c r="E507" i="1" s="1"/>
  <c r="E513" i="1" s="1"/>
  <c r="E519" i="1" s="1"/>
  <c r="E525" i="1" s="1"/>
  <c r="E496" i="1"/>
  <c r="E502" i="1" s="1"/>
  <c r="E508" i="1" s="1"/>
  <c r="E514" i="1" s="1"/>
  <c r="E520" i="1" s="1"/>
  <c r="E526" i="1" s="1"/>
  <c r="E497" i="1"/>
  <c r="E503" i="1" s="1"/>
  <c r="E509" i="1" s="1"/>
  <c r="E515" i="1" s="1"/>
  <c r="E521" i="1" s="1"/>
  <c r="E527" i="1" s="1"/>
  <c r="E498" i="1"/>
  <c r="E504" i="1" s="1"/>
  <c r="E510" i="1" s="1"/>
  <c r="E516" i="1" s="1"/>
  <c r="E522" i="1" s="1"/>
  <c r="E528" i="1" s="1"/>
  <c r="E499" i="1"/>
  <c r="E505" i="1" s="1"/>
  <c r="E511" i="1" s="1"/>
  <c r="E517" i="1" s="1"/>
  <c r="E523" i="1" s="1"/>
  <c r="E529" i="1" s="1"/>
  <c r="E494" i="1"/>
  <c r="E500" i="1" s="1"/>
  <c r="E506" i="1" s="1"/>
  <c r="E512" i="1" s="1"/>
  <c r="E518" i="1" s="1"/>
  <c r="E524" i="1" s="1"/>
  <c r="E453" i="1"/>
  <c r="E459" i="1" s="1"/>
  <c r="E465" i="1" s="1"/>
  <c r="E471" i="1" s="1"/>
  <c r="E477" i="1" s="1"/>
  <c r="E483" i="1" s="1"/>
  <c r="E454" i="1"/>
  <c r="E460" i="1" s="1"/>
  <c r="E466" i="1" s="1"/>
  <c r="E472" i="1" s="1"/>
  <c r="E478" i="1" s="1"/>
  <c r="E484" i="1" s="1"/>
  <c r="E455" i="1"/>
  <c r="E461" i="1" s="1"/>
  <c r="E467" i="1" s="1"/>
  <c r="E473" i="1" s="1"/>
  <c r="E479" i="1" s="1"/>
  <c r="E485" i="1" s="1"/>
  <c r="E456" i="1"/>
  <c r="E462" i="1" s="1"/>
  <c r="E468" i="1" s="1"/>
  <c r="E474" i="1" s="1"/>
  <c r="E480" i="1" s="1"/>
  <c r="E486" i="1" s="1"/>
  <c r="E457" i="1"/>
  <c r="E463" i="1" s="1"/>
  <c r="E469" i="1" s="1"/>
  <c r="E475" i="1" s="1"/>
  <c r="E481" i="1" s="1"/>
  <c r="E487" i="1" s="1"/>
  <c r="E452" i="1"/>
  <c r="E458" i="1" s="1"/>
  <c r="E464" i="1" s="1"/>
  <c r="E470" i="1" s="1"/>
  <c r="E476" i="1" s="1"/>
  <c r="E482" i="1" s="1"/>
  <c r="E444" i="1"/>
  <c r="E443" i="1"/>
  <c r="E442" i="1"/>
  <c r="E416" i="1"/>
  <c r="E421" i="1" s="1"/>
  <c r="E426" i="1" s="1"/>
  <c r="E431" i="1" s="1"/>
  <c r="E417" i="1"/>
  <c r="E422" i="1" s="1"/>
  <c r="E427" i="1" s="1"/>
  <c r="E432" i="1" s="1"/>
  <c r="E418" i="1"/>
  <c r="E423" i="1" s="1"/>
  <c r="E428" i="1" s="1"/>
  <c r="E433" i="1" s="1"/>
  <c r="E419" i="1"/>
  <c r="E424" i="1" s="1"/>
  <c r="E429" i="1" s="1"/>
  <c r="E434" i="1" s="1"/>
  <c r="E415" i="1"/>
  <c r="E420" i="1" s="1"/>
  <c r="E425" i="1" s="1"/>
  <c r="E430" i="1" s="1"/>
  <c r="E387" i="1"/>
  <c r="E392" i="1" s="1"/>
  <c r="E397" i="1" s="1"/>
  <c r="E388" i="1"/>
  <c r="E393" i="1" s="1"/>
  <c r="E398" i="1" s="1"/>
  <c r="E384" i="1"/>
  <c r="E389" i="1" s="1"/>
  <c r="E394" i="1" s="1"/>
  <c r="E381" i="1"/>
  <c r="E380" i="1"/>
  <c r="E370" i="1"/>
  <c r="E376" i="1" s="1"/>
  <c r="E371" i="1"/>
  <c r="E377" i="1" s="1"/>
  <c r="E372" i="1"/>
  <c r="E378" i="1" s="1"/>
  <c r="E367" i="1"/>
  <c r="E373" i="1" s="1"/>
  <c r="E347" i="1"/>
  <c r="E352" i="1" s="1"/>
  <c r="E357" i="1" s="1"/>
  <c r="E348" i="1"/>
  <c r="E353" i="1" s="1"/>
  <c r="E358" i="1" s="1"/>
  <c r="E349" i="1"/>
  <c r="E354" i="1" s="1"/>
  <c r="E359" i="1" s="1"/>
  <c r="E350" i="1"/>
  <c r="E355" i="1" s="1"/>
  <c r="E360" i="1" s="1"/>
  <c r="E346" i="1"/>
  <c r="E351" i="1" s="1"/>
  <c r="E356" i="1" s="1"/>
  <c r="E294" i="1"/>
  <c r="E299" i="1" s="1"/>
  <c r="E304" i="1" s="1"/>
  <c r="E309" i="1" s="1"/>
  <c r="E314" i="1" s="1"/>
  <c r="E319" i="1" s="1"/>
  <c r="E324" i="1" s="1"/>
  <c r="E329" i="1" s="1"/>
  <c r="E334" i="1" s="1"/>
  <c r="E295" i="1"/>
  <c r="E300" i="1" s="1"/>
  <c r="E305" i="1" s="1"/>
  <c r="E310" i="1" s="1"/>
  <c r="E315" i="1" s="1"/>
  <c r="E320" i="1" s="1"/>
  <c r="E325" i="1" s="1"/>
  <c r="E330" i="1" s="1"/>
  <c r="E335" i="1" s="1"/>
  <c r="E291" i="1"/>
  <c r="E296" i="1" s="1"/>
  <c r="E301" i="1" s="1"/>
  <c r="E306" i="1" s="1"/>
  <c r="E311" i="1" s="1"/>
  <c r="E316" i="1" s="1"/>
  <c r="E321" i="1" s="1"/>
  <c r="E326" i="1" s="1"/>
  <c r="E331" i="1" s="1"/>
  <c r="E273" i="1"/>
  <c r="E281" i="1" s="1"/>
  <c r="E274" i="1"/>
  <c r="E282" i="1" s="1"/>
  <c r="E275" i="1"/>
  <c r="E283" i="1" s="1"/>
  <c r="E276" i="1"/>
  <c r="E284" i="1" s="1"/>
  <c r="E277" i="1"/>
  <c r="E285" i="1" s="1"/>
  <c r="E270" i="1"/>
  <c r="E278" i="1" s="1"/>
  <c r="E363" i="1"/>
  <c r="E362" i="1"/>
  <c r="E288" i="1"/>
  <c r="E293" i="1" s="1"/>
  <c r="E298" i="1" s="1"/>
  <c r="E303" i="1" s="1"/>
  <c r="E308" i="1" s="1"/>
  <c r="E313" i="1" s="1"/>
  <c r="E318" i="1" s="1"/>
  <c r="E323" i="1" s="1"/>
  <c r="E328" i="1" s="1"/>
  <c r="E333" i="1" s="1"/>
  <c r="E287" i="1"/>
  <c r="E264" i="1"/>
  <c r="E263" i="1"/>
  <c r="E271" i="1" s="1"/>
  <c r="E279" i="1" s="1"/>
  <c r="E256" i="1"/>
  <c r="E261" i="1" s="1"/>
  <c r="E252" i="1"/>
  <c r="E257" i="1" s="1"/>
  <c r="E255" i="1"/>
  <c r="E260" i="1" s="1"/>
  <c r="E249" i="1"/>
  <c r="E248" i="1"/>
  <c r="E253" i="1" s="1"/>
  <c r="E258" i="1" s="1"/>
  <c r="E246" i="1"/>
  <c r="E245" i="1"/>
  <c r="E244" i="1"/>
  <c r="E243" i="1"/>
  <c r="E242" i="1"/>
  <c r="E239" i="1"/>
  <c r="E238" i="1"/>
  <c r="E237" i="1"/>
  <c r="E236" i="1"/>
  <c r="E235" i="1"/>
  <c r="E234" i="1"/>
  <c r="E231" i="1"/>
  <c r="E230" i="1"/>
  <c r="E229" i="1"/>
  <c r="E228" i="1"/>
  <c r="E227" i="1"/>
  <c r="E226" i="1"/>
  <c r="E223" i="1"/>
  <c r="E222" i="1"/>
  <c r="E221" i="1"/>
  <c r="E220" i="1"/>
  <c r="E219" i="1"/>
  <c r="E218" i="1"/>
  <c r="E215" i="1"/>
  <c r="E214" i="1"/>
  <c r="E213" i="1"/>
  <c r="E212" i="1"/>
  <c r="E211" i="1"/>
  <c r="E210" i="1"/>
  <c r="E207" i="1"/>
  <c r="E206" i="1"/>
  <c r="E205" i="1"/>
  <c r="E204" i="1"/>
  <c r="E203" i="1"/>
  <c r="E202" i="1"/>
  <c r="E199" i="1"/>
  <c r="E193" i="1"/>
  <c r="E209" i="1" s="1"/>
  <c r="E192" i="1"/>
  <c r="E190" i="1"/>
  <c r="E186" i="1"/>
  <c r="E185" i="1"/>
  <c r="E181" i="1"/>
  <c r="E180" i="1"/>
  <c r="E176" i="1"/>
  <c r="E175" i="1"/>
  <c r="E171" i="1"/>
  <c r="E170" i="1"/>
  <c r="E166" i="1"/>
  <c r="E165" i="1"/>
  <c r="E161" i="1"/>
  <c r="E158" i="1"/>
  <c r="E163" i="1" s="1"/>
  <c r="E164" i="1"/>
  <c r="E157" i="1"/>
  <c r="E172" i="1" s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01" i="1"/>
  <c r="E102" i="1"/>
  <c r="E103" i="1"/>
  <c r="E104" i="1"/>
  <c r="E105" i="1"/>
  <c r="E106" i="1"/>
  <c r="E100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F443" i="1" l="1"/>
  <c r="E942" i="1"/>
  <c r="E947" i="1" s="1"/>
  <c r="E952" i="1" s="1"/>
  <c r="E957" i="1" s="1"/>
  <c r="E962" i="1" s="1"/>
  <c r="E967" i="1" s="1"/>
  <c r="F546" i="1"/>
  <c r="F929" i="1"/>
  <c r="E201" i="1"/>
  <c r="E217" i="1"/>
  <c r="E369" i="1"/>
  <c r="E375" i="1" s="1"/>
  <c r="F363" i="1"/>
  <c r="F369" i="1" s="1"/>
  <c r="F375" i="1" s="1"/>
  <c r="E233" i="1"/>
  <c r="E855" i="1"/>
  <c r="E860" i="1" s="1"/>
  <c r="E865" i="1" s="1"/>
  <c r="E870" i="1" s="1"/>
  <c r="E875" i="1" s="1"/>
  <c r="E880" i="1" s="1"/>
  <c r="E885" i="1" s="1"/>
  <c r="E890" i="1" s="1"/>
  <c r="E895" i="1" s="1"/>
  <c r="E900" i="1" s="1"/>
  <c r="E905" i="1" s="1"/>
  <c r="E910" i="1" s="1"/>
  <c r="E915" i="1" s="1"/>
  <c r="F854" i="1"/>
  <c r="F859" i="1" s="1"/>
  <c r="F864" i="1" s="1"/>
  <c r="F869" i="1" s="1"/>
  <c r="F874" i="1" s="1"/>
  <c r="F879" i="1" s="1"/>
  <c r="F884" i="1" s="1"/>
  <c r="F889" i="1" s="1"/>
  <c r="F894" i="1" s="1"/>
  <c r="F899" i="1" s="1"/>
  <c r="F904" i="1" s="1"/>
  <c r="F909" i="1" s="1"/>
  <c r="F914" i="1" s="1"/>
  <c r="F919" i="1" s="1"/>
  <c r="F850" i="1"/>
  <c r="F855" i="1" s="1"/>
  <c r="F860" i="1" s="1"/>
  <c r="F865" i="1" s="1"/>
  <c r="F870" i="1" s="1"/>
  <c r="F875" i="1" s="1"/>
  <c r="F880" i="1" s="1"/>
  <c r="F885" i="1" s="1"/>
  <c r="F890" i="1" s="1"/>
  <c r="F895" i="1" s="1"/>
  <c r="F900" i="1" s="1"/>
  <c r="F905" i="1" s="1"/>
  <c r="F910" i="1" s="1"/>
  <c r="F915" i="1" s="1"/>
  <c r="F852" i="1"/>
  <c r="F857" i="1" s="1"/>
  <c r="F862" i="1" s="1"/>
  <c r="F867" i="1" s="1"/>
  <c r="F872" i="1" s="1"/>
  <c r="F877" i="1" s="1"/>
  <c r="F882" i="1" s="1"/>
  <c r="F887" i="1" s="1"/>
  <c r="F892" i="1" s="1"/>
  <c r="F897" i="1" s="1"/>
  <c r="F902" i="1" s="1"/>
  <c r="F907" i="1" s="1"/>
  <c r="F912" i="1" s="1"/>
  <c r="F917" i="1" s="1"/>
  <c r="F853" i="1"/>
  <c r="F858" i="1" s="1"/>
  <c r="F863" i="1" s="1"/>
  <c r="F868" i="1" s="1"/>
  <c r="F873" i="1" s="1"/>
  <c r="F878" i="1" s="1"/>
  <c r="F883" i="1" s="1"/>
  <c r="F888" i="1" s="1"/>
  <c r="F893" i="1" s="1"/>
  <c r="F898" i="1" s="1"/>
  <c r="F903" i="1" s="1"/>
  <c r="F908" i="1" s="1"/>
  <c r="F913" i="1" s="1"/>
  <c r="F918" i="1" s="1"/>
  <c r="F851" i="1"/>
  <c r="F856" i="1" s="1"/>
  <c r="F861" i="1" s="1"/>
  <c r="F866" i="1" s="1"/>
  <c r="F871" i="1" s="1"/>
  <c r="F876" i="1" s="1"/>
  <c r="F881" i="1" s="1"/>
  <c r="F886" i="1" s="1"/>
  <c r="F891" i="1" s="1"/>
  <c r="F896" i="1" s="1"/>
  <c r="F901" i="1" s="1"/>
  <c r="F906" i="1" s="1"/>
  <c r="F911" i="1" s="1"/>
  <c r="F916" i="1" s="1"/>
  <c r="E368" i="1"/>
  <c r="E374" i="1" s="1"/>
  <c r="F362" i="1"/>
  <c r="F368" i="1" s="1"/>
  <c r="F374" i="1" s="1"/>
  <c r="F364" i="1"/>
  <c r="F370" i="1" s="1"/>
  <c r="F376" i="1" s="1"/>
  <c r="F365" i="1"/>
  <c r="F371" i="1" s="1"/>
  <c r="F377" i="1" s="1"/>
  <c r="F366" i="1"/>
  <c r="F372" i="1" s="1"/>
  <c r="F378" i="1" s="1"/>
  <c r="F361" i="1"/>
  <c r="F367" i="1" s="1"/>
  <c r="F373" i="1" s="1"/>
  <c r="F548" i="1"/>
  <c r="E575" i="1"/>
  <c r="E585" i="1" s="1"/>
  <c r="E595" i="1" s="1"/>
  <c r="E605" i="1" s="1"/>
  <c r="E615" i="1" s="1"/>
  <c r="E625" i="1" s="1"/>
  <c r="E635" i="1" s="1"/>
  <c r="E645" i="1" s="1"/>
  <c r="E655" i="1" s="1"/>
  <c r="E665" i="1" s="1"/>
  <c r="E675" i="1" s="1"/>
  <c r="E685" i="1" s="1"/>
  <c r="E695" i="1" s="1"/>
  <c r="E705" i="1" s="1"/>
  <c r="F571" i="1"/>
  <c r="F581" i="1" s="1"/>
  <c r="F591" i="1" s="1"/>
  <c r="F601" i="1" s="1"/>
  <c r="F611" i="1" s="1"/>
  <c r="F621" i="1" s="1"/>
  <c r="F631" i="1" s="1"/>
  <c r="F641" i="1" s="1"/>
  <c r="F651" i="1" s="1"/>
  <c r="F661" i="1" s="1"/>
  <c r="F671" i="1" s="1"/>
  <c r="F681" i="1" s="1"/>
  <c r="F691" i="1" s="1"/>
  <c r="F701" i="1" s="1"/>
  <c r="F711" i="1" s="1"/>
  <c r="F572" i="1"/>
  <c r="F582" i="1" s="1"/>
  <c r="F592" i="1" s="1"/>
  <c r="F602" i="1" s="1"/>
  <c r="F612" i="1" s="1"/>
  <c r="F622" i="1" s="1"/>
  <c r="F632" i="1" s="1"/>
  <c r="F642" i="1" s="1"/>
  <c r="F652" i="1" s="1"/>
  <c r="F662" i="1" s="1"/>
  <c r="F672" i="1" s="1"/>
  <c r="F682" i="1" s="1"/>
  <c r="F692" i="1" s="1"/>
  <c r="F702" i="1" s="1"/>
  <c r="F712" i="1" s="1"/>
  <c r="F573" i="1"/>
  <c r="F583" i="1" s="1"/>
  <c r="F593" i="1" s="1"/>
  <c r="F603" i="1" s="1"/>
  <c r="F613" i="1" s="1"/>
  <c r="F623" i="1" s="1"/>
  <c r="F633" i="1" s="1"/>
  <c r="F643" i="1" s="1"/>
  <c r="F653" i="1" s="1"/>
  <c r="F663" i="1" s="1"/>
  <c r="F673" i="1" s="1"/>
  <c r="F683" i="1" s="1"/>
  <c r="F693" i="1" s="1"/>
  <c r="F703" i="1" s="1"/>
  <c r="F713" i="1" s="1"/>
  <c r="F574" i="1"/>
  <c r="F584" i="1" s="1"/>
  <c r="F594" i="1" s="1"/>
  <c r="F604" i="1" s="1"/>
  <c r="F614" i="1" s="1"/>
  <c r="F624" i="1" s="1"/>
  <c r="F634" i="1" s="1"/>
  <c r="F644" i="1" s="1"/>
  <c r="F654" i="1" s="1"/>
  <c r="F664" i="1" s="1"/>
  <c r="F674" i="1" s="1"/>
  <c r="F684" i="1" s="1"/>
  <c r="F694" i="1" s="1"/>
  <c r="F704" i="1" s="1"/>
  <c r="F714" i="1" s="1"/>
  <c r="F565" i="1"/>
  <c r="F575" i="1" s="1"/>
  <c r="F585" i="1" s="1"/>
  <c r="F595" i="1" s="1"/>
  <c r="F605" i="1" s="1"/>
  <c r="F615" i="1" s="1"/>
  <c r="F625" i="1" s="1"/>
  <c r="F635" i="1" s="1"/>
  <c r="F645" i="1" s="1"/>
  <c r="F655" i="1" s="1"/>
  <c r="F665" i="1" s="1"/>
  <c r="F675" i="1" s="1"/>
  <c r="F685" i="1" s="1"/>
  <c r="F695" i="1" s="1"/>
  <c r="F705" i="1" s="1"/>
  <c r="F930" i="1"/>
  <c r="E576" i="1"/>
  <c r="E586" i="1" s="1"/>
  <c r="E596" i="1" s="1"/>
  <c r="E606" i="1" s="1"/>
  <c r="E616" i="1" s="1"/>
  <c r="E626" i="1" s="1"/>
  <c r="E636" i="1" s="1"/>
  <c r="E646" i="1" s="1"/>
  <c r="E656" i="1" s="1"/>
  <c r="E666" i="1" s="1"/>
  <c r="E676" i="1" s="1"/>
  <c r="E686" i="1" s="1"/>
  <c r="E696" i="1" s="1"/>
  <c r="E706" i="1" s="1"/>
  <c r="F566" i="1"/>
  <c r="F576" i="1" s="1"/>
  <c r="F586" i="1" s="1"/>
  <c r="F596" i="1" s="1"/>
  <c r="F606" i="1" s="1"/>
  <c r="F616" i="1" s="1"/>
  <c r="F626" i="1" s="1"/>
  <c r="F636" i="1" s="1"/>
  <c r="F646" i="1" s="1"/>
  <c r="F656" i="1" s="1"/>
  <c r="F666" i="1" s="1"/>
  <c r="F676" i="1" s="1"/>
  <c r="F686" i="1" s="1"/>
  <c r="F696" i="1" s="1"/>
  <c r="F706" i="1" s="1"/>
  <c r="F442" i="1"/>
  <c r="F445" i="1"/>
  <c r="F441" i="1"/>
  <c r="E729" i="1"/>
  <c r="E738" i="1" s="1"/>
  <c r="E747" i="1" s="1"/>
  <c r="E756" i="1" s="1"/>
  <c r="E765" i="1" s="1"/>
  <c r="E774" i="1" s="1"/>
  <c r="E783" i="1" s="1"/>
  <c r="E792" i="1" s="1"/>
  <c r="E801" i="1" s="1"/>
  <c r="E810" i="1" s="1"/>
  <c r="E819" i="1" s="1"/>
  <c r="E828" i="1" s="1"/>
  <c r="E837" i="1" s="1"/>
  <c r="E846" i="1" s="1"/>
  <c r="F715" i="1"/>
  <c r="F724" i="1" s="1"/>
  <c r="F733" i="1" s="1"/>
  <c r="F742" i="1" s="1"/>
  <c r="F751" i="1" s="1"/>
  <c r="F760" i="1" s="1"/>
  <c r="F769" i="1" s="1"/>
  <c r="F778" i="1" s="1"/>
  <c r="F787" i="1" s="1"/>
  <c r="F796" i="1" s="1"/>
  <c r="F805" i="1" s="1"/>
  <c r="F814" i="1" s="1"/>
  <c r="F823" i="1" s="1"/>
  <c r="F832" i="1" s="1"/>
  <c r="F841" i="1" s="1"/>
  <c r="F716" i="1"/>
  <c r="F725" i="1" s="1"/>
  <c r="F734" i="1" s="1"/>
  <c r="F743" i="1" s="1"/>
  <c r="F752" i="1" s="1"/>
  <c r="F761" i="1" s="1"/>
  <c r="F770" i="1" s="1"/>
  <c r="F779" i="1" s="1"/>
  <c r="F788" i="1" s="1"/>
  <c r="F797" i="1" s="1"/>
  <c r="F806" i="1" s="1"/>
  <c r="F815" i="1" s="1"/>
  <c r="F824" i="1" s="1"/>
  <c r="F833" i="1" s="1"/>
  <c r="F842" i="1" s="1"/>
  <c r="F717" i="1"/>
  <c r="F726" i="1" s="1"/>
  <c r="F735" i="1" s="1"/>
  <c r="F744" i="1" s="1"/>
  <c r="F753" i="1" s="1"/>
  <c r="F762" i="1" s="1"/>
  <c r="F771" i="1" s="1"/>
  <c r="F780" i="1" s="1"/>
  <c r="F789" i="1" s="1"/>
  <c r="F798" i="1" s="1"/>
  <c r="F807" i="1" s="1"/>
  <c r="F816" i="1" s="1"/>
  <c r="F825" i="1" s="1"/>
  <c r="F834" i="1" s="1"/>
  <c r="F843" i="1" s="1"/>
  <c r="F718" i="1"/>
  <c r="F727" i="1" s="1"/>
  <c r="F736" i="1" s="1"/>
  <c r="F745" i="1" s="1"/>
  <c r="F754" i="1" s="1"/>
  <c r="F763" i="1" s="1"/>
  <c r="F772" i="1" s="1"/>
  <c r="F781" i="1" s="1"/>
  <c r="F790" i="1" s="1"/>
  <c r="F799" i="1" s="1"/>
  <c r="F808" i="1" s="1"/>
  <c r="F817" i="1" s="1"/>
  <c r="F826" i="1" s="1"/>
  <c r="F835" i="1" s="1"/>
  <c r="F844" i="1" s="1"/>
  <c r="F720" i="1"/>
  <c r="F729" i="1" s="1"/>
  <c r="F738" i="1" s="1"/>
  <c r="F747" i="1" s="1"/>
  <c r="F756" i="1" s="1"/>
  <c r="F765" i="1" s="1"/>
  <c r="F774" i="1" s="1"/>
  <c r="F783" i="1" s="1"/>
  <c r="F792" i="1" s="1"/>
  <c r="F801" i="1" s="1"/>
  <c r="F810" i="1" s="1"/>
  <c r="F819" i="1" s="1"/>
  <c r="F828" i="1" s="1"/>
  <c r="F837" i="1" s="1"/>
  <c r="F846" i="1" s="1"/>
  <c r="F719" i="1"/>
  <c r="F728" i="1" s="1"/>
  <c r="F737" i="1" s="1"/>
  <c r="F746" i="1" s="1"/>
  <c r="F755" i="1" s="1"/>
  <c r="F764" i="1" s="1"/>
  <c r="F773" i="1" s="1"/>
  <c r="F782" i="1" s="1"/>
  <c r="F791" i="1" s="1"/>
  <c r="F800" i="1" s="1"/>
  <c r="F809" i="1" s="1"/>
  <c r="F818" i="1" s="1"/>
  <c r="F827" i="1" s="1"/>
  <c r="F836" i="1" s="1"/>
  <c r="F845" i="1" s="1"/>
  <c r="E577" i="1"/>
  <c r="E587" i="1" s="1"/>
  <c r="E597" i="1" s="1"/>
  <c r="E607" i="1" s="1"/>
  <c r="E617" i="1" s="1"/>
  <c r="E627" i="1" s="1"/>
  <c r="E637" i="1" s="1"/>
  <c r="E647" i="1" s="1"/>
  <c r="E657" i="1" s="1"/>
  <c r="E667" i="1" s="1"/>
  <c r="E677" i="1" s="1"/>
  <c r="E687" i="1" s="1"/>
  <c r="E697" i="1" s="1"/>
  <c r="E707" i="1" s="1"/>
  <c r="F567" i="1"/>
  <c r="F577" i="1" s="1"/>
  <c r="F587" i="1" s="1"/>
  <c r="F597" i="1" s="1"/>
  <c r="F607" i="1" s="1"/>
  <c r="F617" i="1" s="1"/>
  <c r="F627" i="1" s="1"/>
  <c r="F637" i="1" s="1"/>
  <c r="F647" i="1" s="1"/>
  <c r="F657" i="1" s="1"/>
  <c r="F667" i="1" s="1"/>
  <c r="F677" i="1" s="1"/>
  <c r="F687" i="1" s="1"/>
  <c r="F697" i="1" s="1"/>
  <c r="F707" i="1" s="1"/>
  <c r="F547" i="1"/>
  <c r="E730" i="1"/>
  <c r="E739" i="1" s="1"/>
  <c r="E748" i="1" s="1"/>
  <c r="E757" i="1" s="1"/>
  <c r="E766" i="1" s="1"/>
  <c r="E775" i="1" s="1"/>
  <c r="E784" i="1" s="1"/>
  <c r="E793" i="1" s="1"/>
  <c r="E802" i="1" s="1"/>
  <c r="E811" i="1" s="1"/>
  <c r="E820" i="1" s="1"/>
  <c r="E829" i="1" s="1"/>
  <c r="E838" i="1" s="1"/>
  <c r="E847" i="1" s="1"/>
  <c r="F721" i="1"/>
  <c r="F730" i="1" s="1"/>
  <c r="F739" i="1" s="1"/>
  <c r="F748" i="1" s="1"/>
  <c r="F757" i="1" s="1"/>
  <c r="F766" i="1" s="1"/>
  <c r="F775" i="1" s="1"/>
  <c r="F784" i="1" s="1"/>
  <c r="F793" i="1" s="1"/>
  <c r="F802" i="1" s="1"/>
  <c r="F811" i="1" s="1"/>
  <c r="F820" i="1" s="1"/>
  <c r="F829" i="1" s="1"/>
  <c r="F838" i="1" s="1"/>
  <c r="F847" i="1" s="1"/>
  <c r="F568" i="1"/>
  <c r="F578" i="1" s="1"/>
  <c r="F588" i="1" s="1"/>
  <c r="F598" i="1" s="1"/>
  <c r="F608" i="1" s="1"/>
  <c r="F618" i="1" s="1"/>
  <c r="F628" i="1" s="1"/>
  <c r="F638" i="1" s="1"/>
  <c r="F648" i="1" s="1"/>
  <c r="F658" i="1" s="1"/>
  <c r="F668" i="1" s="1"/>
  <c r="F678" i="1" s="1"/>
  <c r="F688" i="1" s="1"/>
  <c r="F698" i="1" s="1"/>
  <c r="F708" i="1" s="1"/>
  <c r="F925" i="1"/>
  <c r="E385" i="1"/>
  <c r="E390" i="1" s="1"/>
  <c r="E395" i="1" s="1"/>
  <c r="F380" i="1"/>
  <c r="F385" i="1" s="1"/>
  <c r="F390" i="1" s="1"/>
  <c r="F395" i="1" s="1"/>
  <c r="F382" i="1"/>
  <c r="F387" i="1" s="1"/>
  <c r="F392" i="1" s="1"/>
  <c r="F397" i="1" s="1"/>
  <c r="F383" i="1"/>
  <c r="F388" i="1" s="1"/>
  <c r="F393" i="1" s="1"/>
  <c r="F398" i="1" s="1"/>
  <c r="F379" i="1"/>
  <c r="F384" i="1" s="1"/>
  <c r="F389" i="1" s="1"/>
  <c r="F394" i="1" s="1"/>
  <c r="F444" i="1"/>
  <c r="E731" i="1"/>
  <c r="E740" i="1" s="1"/>
  <c r="E749" i="1" s="1"/>
  <c r="E758" i="1" s="1"/>
  <c r="E767" i="1" s="1"/>
  <c r="E776" i="1" s="1"/>
  <c r="E785" i="1" s="1"/>
  <c r="E794" i="1" s="1"/>
  <c r="E803" i="1" s="1"/>
  <c r="E812" i="1" s="1"/>
  <c r="E821" i="1" s="1"/>
  <c r="E830" i="1" s="1"/>
  <c r="E839" i="1" s="1"/>
  <c r="E848" i="1" s="1"/>
  <c r="F722" i="1"/>
  <c r="F731" i="1" s="1"/>
  <c r="F740" i="1" s="1"/>
  <c r="F749" i="1" s="1"/>
  <c r="F758" i="1" s="1"/>
  <c r="F767" i="1" s="1"/>
  <c r="F776" i="1" s="1"/>
  <c r="F785" i="1" s="1"/>
  <c r="F794" i="1" s="1"/>
  <c r="F803" i="1" s="1"/>
  <c r="F812" i="1" s="1"/>
  <c r="F821" i="1" s="1"/>
  <c r="F830" i="1" s="1"/>
  <c r="F839" i="1" s="1"/>
  <c r="F848" i="1" s="1"/>
  <c r="F923" i="1"/>
  <c r="F926" i="1"/>
  <c r="F927" i="1"/>
  <c r="E579" i="1"/>
  <c r="E589" i="1" s="1"/>
  <c r="E599" i="1" s="1"/>
  <c r="E609" i="1" s="1"/>
  <c r="E619" i="1" s="1"/>
  <c r="E629" i="1" s="1"/>
  <c r="E639" i="1" s="1"/>
  <c r="E649" i="1" s="1"/>
  <c r="E659" i="1" s="1"/>
  <c r="E669" i="1" s="1"/>
  <c r="E679" i="1" s="1"/>
  <c r="E689" i="1" s="1"/>
  <c r="E699" i="1" s="1"/>
  <c r="E709" i="1" s="1"/>
  <c r="F569" i="1"/>
  <c r="F579" i="1" s="1"/>
  <c r="F589" i="1" s="1"/>
  <c r="F599" i="1" s="1"/>
  <c r="F609" i="1" s="1"/>
  <c r="F619" i="1" s="1"/>
  <c r="F629" i="1" s="1"/>
  <c r="F639" i="1" s="1"/>
  <c r="F649" i="1" s="1"/>
  <c r="F659" i="1" s="1"/>
  <c r="F669" i="1" s="1"/>
  <c r="F679" i="1" s="1"/>
  <c r="F689" i="1" s="1"/>
  <c r="F699" i="1" s="1"/>
  <c r="F709" i="1" s="1"/>
  <c r="E386" i="1"/>
  <c r="E391" i="1" s="1"/>
  <c r="E396" i="1" s="1"/>
  <c r="F381" i="1"/>
  <c r="F386" i="1" s="1"/>
  <c r="F391" i="1" s="1"/>
  <c r="F396" i="1" s="1"/>
  <c r="F544" i="1"/>
  <c r="F549" i="1"/>
  <c r="F545" i="1"/>
  <c r="E732" i="1"/>
  <c r="E741" i="1" s="1"/>
  <c r="E750" i="1" s="1"/>
  <c r="E759" i="1" s="1"/>
  <c r="E768" i="1" s="1"/>
  <c r="E777" i="1" s="1"/>
  <c r="E786" i="1" s="1"/>
  <c r="E795" i="1" s="1"/>
  <c r="E804" i="1" s="1"/>
  <c r="E813" i="1" s="1"/>
  <c r="E822" i="1" s="1"/>
  <c r="E831" i="1" s="1"/>
  <c r="E840" i="1" s="1"/>
  <c r="E849" i="1" s="1"/>
  <c r="F723" i="1"/>
  <c r="F732" i="1" s="1"/>
  <c r="F741" i="1" s="1"/>
  <c r="F750" i="1" s="1"/>
  <c r="F759" i="1" s="1"/>
  <c r="F768" i="1" s="1"/>
  <c r="F777" i="1" s="1"/>
  <c r="F786" i="1" s="1"/>
  <c r="F795" i="1" s="1"/>
  <c r="F804" i="1" s="1"/>
  <c r="F813" i="1" s="1"/>
  <c r="F822" i="1" s="1"/>
  <c r="F831" i="1" s="1"/>
  <c r="F840" i="1" s="1"/>
  <c r="F849" i="1" s="1"/>
  <c r="F928" i="1"/>
  <c r="E580" i="1"/>
  <c r="E590" i="1" s="1"/>
  <c r="E600" i="1" s="1"/>
  <c r="E610" i="1" s="1"/>
  <c r="E620" i="1" s="1"/>
  <c r="E630" i="1" s="1"/>
  <c r="E640" i="1" s="1"/>
  <c r="E650" i="1" s="1"/>
  <c r="E660" i="1" s="1"/>
  <c r="E670" i="1" s="1"/>
  <c r="E680" i="1" s="1"/>
  <c r="E690" i="1" s="1"/>
  <c r="E700" i="1" s="1"/>
  <c r="E710" i="1" s="1"/>
  <c r="F570" i="1"/>
  <c r="F580" i="1" s="1"/>
  <c r="F590" i="1" s="1"/>
  <c r="F600" i="1" s="1"/>
  <c r="F610" i="1" s="1"/>
  <c r="F620" i="1" s="1"/>
  <c r="F630" i="1" s="1"/>
  <c r="F640" i="1" s="1"/>
  <c r="F650" i="1" s="1"/>
  <c r="F660" i="1" s="1"/>
  <c r="F670" i="1" s="1"/>
  <c r="F680" i="1" s="1"/>
  <c r="F690" i="1" s="1"/>
  <c r="F700" i="1" s="1"/>
  <c r="F710" i="1" s="1"/>
  <c r="F924" i="1"/>
  <c r="F193" i="1"/>
  <c r="F201" i="1" s="1"/>
  <c r="F209" i="1" s="1"/>
  <c r="F217" i="1" s="1"/>
  <c r="F225" i="1" s="1"/>
  <c r="F233" i="1" s="1"/>
  <c r="F241" i="1" s="1"/>
  <c r="E241" i="1"/>
  <c r="E292" i="1"/>
  <c r="E297" i="1" s="1"/>
  <c r="E302" i="1" s="1"/>
  <c r="E307" i="1" s="1"/>
  <c r="E312" i="1" s="1"/>
  <c r="E317" i="1" s="1"/>
  <c r="E322" i="1" s="1"/>
  <c r="E327" i="1" s="1"/>
  <c r="E332" i="1" s="1"/>
  <c r="F290" i="1"/>
  <c r="F295" i="1" s="1"/>
  <c r="F300" i="1" s="1"/>
  <c r="F305" i="1" s="1"/>
  <c r="F310" i="1" s="1"/>
  <c r="F315" i="1" s="1"/>
  <c r="F320" i="1" s="1"/>
  <c r="F325" i="1" s="1"/>
  <c r="F330" i="1" s="1"/>
  <c r="F335" i="1" s="1"/>
  <c r="F287" i="1"/>
  <c r="F292" i="1" s="1"/>
  <c r="F297" i="1" s="1"/>
  <c r="F302" i="1" s="1"/>
  <c r="F307" i="1" s="1"/>
  <c r="F312" i="1" s="1"/>
  <c r="F317" i="1" s="1"/>
  <c r="F322" i="1" s="1"/>
  <c r="F327" i="1" s="1"/>
  <c r="F332" i="1" s="1"/>
  <c r="F286" i="1"/>
  <c r="F291" i="1" s="1"/>
  <c r="F296" i="1" s="1"/>
  <c r="F301" i="1" s="1"/>
  <c r="F306" i="1" s="1"/>
  <c r="F311" i="1" s="1"/>
  <c r="F316" i="1" s="1"/>
  <c r="F321" i="1" s="1"/>
  <c r="F326" i="1" s="1"/>
  <c r="F331" i="1" s="1"/>
  <c r="F157" i="1"/>
  <c r="F162" i="1" s="1"/>
  <c r="F167" i="1" s="1"/>
  <c r="F172" i="1" s="1"/>
  <c r="F177" i="1" s="1"/>
  <c r="F182" i="1" s="1"/>
  <c r="F187" i="1" s="1"/>
  <c r="F249" i="1"/>
  <c r="F254" i="1" s="1"/>
  <c r="F259" i="1" s="1"/>
  <c r="E167" i="1"/>
  <c r="E188" i="1"/>
  <c r="F267" i="1"/>
  <c r="F275" i="1" s="1"/>
  <c r="F283" i="1" s="1"/>
  <c r="F268" i="1"/>
  <c r="F276" i="1" s="1"/>
  <c r="F284" i="1" s="1"/>
  <c r="F265" i="1"/>
  <c r="F273" i="1" s="1"/>
  <c r="F281" i="1" s="1"/>
  <c r="F263" i="1"/>
  <c r="F271" i="1" s="1"/>
  <c r="F279" i="1" s="1"/>
  <c r="F269" i="1"/>
  <c r="F277" i="1" s="1"/>
  <c r="F285" i="1" s="1"/>
  <c r="F266" i="1"/>
  <c r="F274" i="1" s="1"/>
  <c r="F282" i="1" s="1"/>
  <c r="F262" i="1"/>
  <c r="F270" i="1" s="1"/>
  <c r="F278" i="1" s="1"/>
  <c r="E162" i="1"/>
  <c r="E187" i="1"/>
  <c r="E232" i="1"/>
  <c r="F194" i="1"/>
  <c r="F202" i="1" s="1"/>
  <c r="F210" i="1" s="1"/>
  <c r="F218" i="1" s="1"/>
  <c r="F226" i="1" s="1"/>
  <c r="F234" i="1" s="1"/>
  <c r="F242" i="1" s="1"/>
  <c r="F195" i="1"/>
  <c r="F203" i="1" s="1"/>
  <c r="F211" i="1" s="1"/>
  <c r="F219" i="1" s="1"/>
  <c r="F227" i="1" s="1"/>
  <c r="F235" i="1" s="1"/>
  <c r="F243" i="1" s="1"/>
  <c r="F191" i="1"/>
  <c r="F199" i="1" s="1"/>
  <c r="F207" i="1" s="1"/>
  <c r="F215" i="1" s="1"/>
  <c r="F223" i="1" s="1"/>
  <c r="F231" i="1" s="1"/>
  <c r="F239" i="1" s="1"/>
  <c r="F192" i="1"/>
  <c r="F200" i="1" s="1"/>
  <c r="F208" i="1" s="1"/>
  <c r="F216" i="1" s="1"/>
  <c r="F224" i="1" s="1"/>
  <c r="F232" i="1" s="1"/>
  <c r="F240" i="1" s="1"/>
  <c r="F196" i="1"/>
  <c r="F204" i="1" s="1"/>
  <c r="F212" i="1" s="1"/>
  <c r="F220" i="1" s="1"/>
  <c r="F228" i="1" s="1"/>
  <c r="F236" i="1" s="1"/>
  <c r="F244" i="1" s="1"/>
  <c r="F197" i="1"/>
  <c r="F205" i="1" s="1"/>
  <c r="F213" i="1" s="1"/>
  <c r="F221" i="1" s="1"/>
  <c r="F229" i="1" s="1"/>
  <c r="F237" i="1" s="1"/>
  <c r="F245" i="1" s="1"/>
  <c r="F198" i="1"/>
  <c r="F206" i="1" s="1"/>
  <c r="F214" i="1" s="1"/>
  <c r="F222" i="1" s="1"/>
  <c r="F230" i="1" s="1"/>
  <c r="F238" i="1" s="1"/>
  <c r="F246" i="1" s="1"/>
  <c r="E225" i="1"/>
  <c r="F247" i="1"/>
  <c r="F252" i="1" s="1"/>
  <c r="F257" i="1" s="1"/>
  <c r="F248" i="1"/>
  <c r="F253" i="1" s="1"/>
  <c r="F258" i="1" s="1"/>
  <c r="F250" i="1"/>
  <c r="F255" i="1" s="1"/>
  <c r="F260" i="1" s="1"/>
  <c r="F251" i="1"/>
  <c r="F256" i="1" s="1"/>
  <c r="F261" i="1" s="1"/>
  <c r="E254" i="1"/>
  <c r="E259" i="1" s="1"/>
  <c r="E178" i="1"/>
  <c r="F158" i="1"/>
  <c r="F163" i="1" s="1"/>
  <c r="F168" i="1" s="1"/>
  <c r="F173" i="1" s="1"/>
  <c r="F178" i="1" s="1"/>
  <c r="F183" i="1" s="1"/>
  <c r="F188" i="1" s="1"/>
  <c r="E177" i="1"/>
  <c r="F159" i="1"/>
  <c r="F164" i="1" s="1"/>
  <c r="F169" i="1" s="1"/>
  <c r="F174" i="1" s="1"/>
  <c r="F179" i="1" s="1"/>
  <c r="F184" i="1" s="1"/>
  <c r="F189" i="1" s="1"/>
  <c r="F160" i="1"/>
  <c r="F165" i="1" s="1"/>
  <c r="F170" i="1" s="1"/>
  <c r="F175" i="1" s="1"/>
  <c r="F180" i="1" s="1"/>
  <c r="F185" i="1" s="1"/>
  <c r="F190" i="1" s="1"/>
  <c r="F156" i="1"/>
  <c r="F161" i="1" s="1"/>
  <c r="F166" i="1" s="1"/>
  <c r="F171" i="1" s="1"/>
  <c r="F176" i="1" s="1"/>
  <c r="F181" i="1" s="1"/>
  <c r="F186" i="1" s="1"/>
  <c r="E272" i="1"/>
  <c r="E280" i="1" s="1"/>
  <c r="F264" i="1"/>
  <c r="F272" i="1" s="1"/>
  <c r="F280" i="1" s="1"/>
  <c r="E183" i="1"/>
  <c r="F288" i="1"/>
  <c r="F293" i="1" s="1"/>
  <c r="F298" i="1" s="1"/>
  <c r="F303" i="1" s="1"/>
  <c r="F308" i="1" s="1"/>
  <c r="F313" i="1" s="1"/>
  <c r="F318" i="1" s="1"/>
  <c r="F323" i="1" s="1"/>
  <c r="F328" i="1" s="1"/>
  <c r="F333" i="1" s="1"/>
  <c r="F289" i="1"/>
  <c r="F294" i="1" s="1"/>
  <c r="F299" i="1" s="1"/>
  <c r="F304" i="1" s="1"/>
  <c r="F309" i="1" s="1"/>
  <c r="F314" i="1" s="1"/>
  <c r="F319" i="1" s="1"/>
  <c r="F324" i="1" s="1"/>
  <c r="F329" i="1" s="1"/>
  <c r="F334" i="1" s="1"/>
  <c r="E179" i="1"/>
  <c r="E168" i="1"/>
  <c r="E169" i="1"/>
  <c r="E182" i="1"/>
  <c r="E200" i="1"/>
  <c r="E224" i="1"/>
  <c r="E184" i="1"/>
  <c r="E173" i="1"/>
  <c r="E174" i="1"/>
  <c r="E216" i="1"/>
  <c r="E240" i="1"/>
  <c r="E189" i="1"/>
  <c r="E208" i="1"/>
</calcChain>
</file>

<file path=xl/sharedStrings.xml><?xml version="1.0" encoding="utf-8"?>
<sst xmlns="http://schemas.openxmlformats.org/spreadsheetml/2006/main" count="2881" uniqueCount="411">
  <si>
    <t>desc</t>
  </si>
  <si>
    <t>vals</t>
  </si>
  <si>
    <t>Does your diet include [Animal products (meat, eggs, fish)]</t>
  </si>
  <si>
    <t>diet_animal</t>
  </si>
  <si>
    <t>Never</t>
  </si>
  <si>
    <t>Rarely (less than 1 meal per week)</t>
  </si>
  <si>
    <t>Occasionally (1or 2 meals per week)</t>
  </si>
  <si>
    <t>Almost every day (1 meal per day, at least 4 times/week)</t>
  </si>
  <si>
    <t>At least 1 meal, every day</t>
  </si>
  <si>
    <t>Several meals /day, every day</t>
  </si>
  <si>
    <t>Every meals, every day</t>
  </si>
  <si>
    <t>Does your diet include [Dairy products]</t>
  </si>
  <si>
    <t>diet_dairy</t>
  </si>
  <si>
    <t>Does your diet include [Spicy food]</t>
  </si>
  <si>
    <t>diet_spicy</t>
  </si>
  <si>
    <t>Does your diet include [Sweets (cookies/candies)]</t>
  </si>
  <si>
    <t>diet_sweet</t>
  </si>
  <si>
    <t>Does your diet include [Deep fried food (french fries/donuts/fried chicken/tempura...)]</t>
  </si>
  <si>
    <t>diet_deepfried</t>
  </si>
  <si>
    <t>Does your diet include [Fried food in general]</t>
  </si>
  <si>
    <t>diet_fried</t>
  </si>
  <si>
    <t>Does your diet include [Peanuts (including peanut butter)]</t>
  </si>
  <si>
    <t>diet_peanut</t>
  </si>
  <si>
    <t>Does your diet include [Other nuts (cashew, almond, brazil nut...)]</t>
  </si>
  <si>
    <t>diet_nut</t>
  </si>
  <si>
    <t>Cooking process used for the meals you eat [Deep frying (Fries/donuts/fried chicken/tempura...)]</t>
  </si>
  <si>
    <t>cooking_deepfry</t>
  </si>
  <si>
    <t>Almost every day (at least 4 times/week)</t>
  </si>
  <si>
    <t>Cooking process used for the meals you eat [Pan Frying ]</t>
  </si>
  <si>
    <t>cooking_panfry</t>
  </si>
  <si>
    <t>Cooking process used for the meals you eat [Boiled or steam cooking]</t>
  </si>
  <si>
    <t>cooking_boil</t>
  </si>
  <si>
    <t>Cooking process used for the meals you eat [Oven Roasting/Baking]</t>
  </si>
  <si>
    <t>cooking_roast</t>
  </si>
  <si>
    <t>Cooking process used for the meals you eat [Grilling / Barbecuing]</t>
  </si>
  <si>
    <t>cooking_grill</t>
  </si>
  <si>
    <t>How often do your meals include...  [cooked vegetables]</t>
  </si>
  <si>
    <t>vegPrep_cooked</t>
  </si>
  <si>
    <t>How often do your meals include...  [raw vegetables]</t>
  </si>
  <si>
    <t>vegPrep_raw</t>
  </si>
  <si>
    <t>Frequency of consuming class of vegetables [Leafy green  (lettuce, spinach and kale, chard)]</t>
  </si>
  <si>
    <t>veg_green</t>
  </si>
  <si>
    <t>occasionally (1or 2 meals per week)</t>
  </si>
  <si>
    <t>Frequency of consuming class of vegetables [Cruciferous (cabbage, cauliflower, Brussels sprouts and broccoli)]</t>
  </si>
  <si>
    <t>veg_cruci</t>
  </si>
  <si>
    <t>Frequency of consuming class of vegetables [Marrow (pumpkin, cucumber, zucchini, squash)]</t>
  </si>
  <si>
    <t>veg_marrow</t>
  </si>
  <si>
    <t>Frequency of consuming class of vegetables [Root  (potato, sweet potato and yam)]</t>
  </si>
  <si>
    <t>veg_root</t>
  </si>
  <si>
    <t>Frequency of consuming class of vegetables [Edible plant stem (celery and asparagus)]</t>
  </si>
  <si>
    <t>veg_stem</t>
  </si>
  <si>
    <t>Frequency of consuming class of vegetables [Allium (onion, garlic and shallot).]</t>
  </si>
  <si>
    <t>veg_allium</t>
  </si>
  <si>
    <t>Frequency of consuming class of vegetables [Resistant starches (oat, cold rice, cold potatoe, legumes (lentilles, beans, peas))]</t>
  </si>
  <si>
    <t>veg_starch</t>
  </si>
  <si>
    <t>Do you drink... [regular soda (contains caffeine and sugar)]</t>
  </si>
  <si>
    <t>drink_soda</t>
  </si>
  <si>
    <t>Rarely (once or twice / month)</t>
  </si>
  <si>
    <t>Occasionally (once or twice / week)</t>
  </si>
  <si>
    <t>Almost every day (at least 4 times/ week)</t>
  </si>
  <si>
    <t>Every day</t>
  </si>
  <si>
    <t>Do you drink... [diet or light/low sugar soda]</t>
  </si>
  <si>
    <t>drink_dietSoda</t>
  </si>
  <si>
    <t>Do you drink... [caffeine-free soda]</t>
  </si>
  <si>
    <t>drink_cafFreeSoda</t>
  </si>
  <si>
    <t>Do you drink... [coffee]</t>
  </si>
  <si>
    <t>drink_coffee</t>
  </si>
  <si>
    <t>Do you drink... [tea]</t>
  </si>
  <si>
    <t>drink_tea</t>
  </si>
  <si>
    <t>Do you drink... [alcoholic beverages]</t>
  </si>
  <si>
    <t>drink_alcohol</t>
  </si>
  <si>
    <t>Do you drink... [milk (from cows)]</t>
  </si>
  <si>
    <t>drink_milk</t>
  </si>
  <si>
    <t>Volumes consumed daily, on a day you would have theses beverages. [Regular soda (contains caffeine and sugar)]</t>
  </si>
  <si>
    <t>drinkVol_soda</t>
  </si>
  <si>
    <t>Less than a cup</t>
  </si>
  <si>
    <t>1 cup (250 ml / 8.45 Oz)</t>
  </si>
  <si>
    <t>1 can / mug (350  ml / 11.83 Oz)</t>
  </si>
  <si>
    <t>1 pint (500 ml / 17 Oz)</t>
  </si>
  <si>
    <t>1 medium size  bottle (0.590 ml / 20 Oz)</t>
  </si>
  <si>
    <t>2 pints / 1 liter (1000 ml / 34 0z)</t>
  </si>
  <si>
    <t>2 liters ( 2000 ml / 68 Oz) or more</t>
  </si>
  <si>
    <t>Volumes consumed daily, on a day you would have theses beverages. [Diet or light/low sugar soda]</t>
  </si>
  <si>
    <t>drinkVol_dietSoda</t>
  </si>
  <si>
    <t>Volumes consumed daily, on a day you would have theses beverages. [Caffeine-free soda]</t>
  </si>
  <si>
    <t>drinkVol_cafFreeSoda</t>
  </si>
  <si>
    <t>Volumes consumed daily, on a day you would have theses beverages. [Coffee]</t>
  </si>
  <si>
    <t>drinkVol_coffee</t>
  </si>
  <si>
    <t>Volumes consumed daily, on a day you would have theses beverages. [Tea]</t>
  </si>
  <si>
    <t>drinkVol_tea</t>
  </si>
  <si>
    <t>Volumes consumed daily, on a day you would have theses beverages. [Alcoholic beverages]</t>
  </si>
  <si>
    <t>drinkVol_alcohol</t>
  </si>
  <si>
    <t>Volumes consumed daily, on a day you would have theses beverages. [Milk (from cows)]</t>
  </si>
  <si>
    <t>drinkVol_milk</t>
  </si>
  <si>
    <t>How often do you drink fermented alcoholic beverages [Wine]</t>
  </si>
  <si>
    <t>alcohol_wine</t>
  </si>
  <si>
    <t>How often do you drink fermented alcoholic beverages [Beer]</t>
  </si>
  <si>
    <t>alcohol_beer</t>
  </si>
  <si>
    <t>How often do you drink fermented alcoholic beverages [Other fermented alcoholic beverage]</t>
  </si>
  <si>
    <t>alcohol_other</t>
  </si>
  <si>
    <t>On a day you would have fermented alcoholic beverages, what would be the volume of consumed throughout the day. [Wine]</t>
  </si>
  <si>
    <t>alcoholVol_wine</t>
  </si>
  <si>
    <t>2 pints / 1 liter / 4 cups (1000 ml / 34 0z)</t>
  </si>
  <si>
    <t>2 liters( 2000 ml / 68 Oz) or more</t>
  </si>
  <si>
    <t>On a day you would have fermented alcoholic beverages, what would be the volume of consumed throughout the day. [Beer]</t>
  </si>
  <si>
    <t>alcoholVol_beer</t>
  </si>
  <si>
    <t>On a day you would have fermented alcoholic beverages, what would be the volume of consumed throughout the day. [Other fermented alcoholic beverage]</t>
  </si>
  <si>
    <t>alcoholVol_other</t>
  </si>
  <si>
    <t>How often do you have at least half a cup of fermented beverages and food that contains probiotics (live and active yeast/bacteria). [Yogurt with live/active cultures]</t>
  </si>
  <si>
    <t>alcoholProB_yogurt</t>
  </si>
  <si>
    <t>Rarely (once or twice a month)</t>
  </si>
  <si>
    <t>Occasionally (once or twice a week)</t>
  </si>
  <si>
    <t>How often do you have at least half a cup of fermented beverages and food that contains probiotics (live and active yeast/bacteria). [Kombucha]</t>
  </si>
  <si>
    <t>alcoholProB_kombucha</t>
  </si>
  <si>
    <t>How often do you have at least half a cup of fermented beverages and food that contains probiotics (live and active yeast/bacteria). [Kefir]</t>
  </si>
  <si>
    <t>alcoholProB_kefir</t>
  </si>
  <si>
    <t>How often do you have at least half a cup of fermented beverages and food that contains probiotics (live and active yeast/bacteria). [Kimchi (fermented cabbage)]</t>
  </si>
  <si>
    <t>alcoholProB_kimchi</t>
  </si>
  <si>
    <t>How often do you have at least half a cup of fermented beverages and food that contains probiotics (live and active yeast/bacteria). [Miso (fermented barley, rice, soybeans)]</t>
  </si>
  <si>
    <t>alcoholProB_miso</t>
  </si>
  <si>
    <t>How often do you have at least half a cup of fermented beverages and food that contains probiotics (live and active yeast/bacteria). [Tempeh (fermented soybeans)]</t>
  </si>
  <si>
    <t>alcoholProB_tempeh</t>
  </si>
  <si>
    <t>How often do you have at least half a cup of fermented beverages and food that contains probiotics (live and active yeast/bacteria). [Unfiltered beer]</t>
  </si>
  <si>
    <t>alcoholProB_beer</t>
  </si>
  <si>
    <t>How often do you have at least half a cup of fermented beverages and food that contains probiotics (live and active yeast/bacteria). [Unpasteurized cheese]</t>
  </si>
  <si>
    <t>alcoholProB_cheese</t>
  </si>
  <si>
    <t>How often do you have at least half a cup of fermented beverages and food that contains probiotics (live and active yeast/bacteria). [Probiotic / prebiotic supplements]</t>
  </si>
  <si>
    <t>alcoholProB_probiotic</t>
  </si>
  <si>
    <t>How often do you have at least half a cup of fermented beverages and food that contains probiotics (live and active yeast/bacteria). [Other]</t>
  </si>
  <si>
    <t>alcoholProB_other</t>
  </si>
  <si>
    <t>How much of what you consume are whole grain and raw fresh vegetables/fruits/meat/fish, prepared/assembled/cooked immediately before a meal (or a couple of meals). Typical range in America is 10 to 40%</t>
  </si>
  <si>
    <t>freshFood</t>
  </si>
  <si>
    <t>Most of what I eat</t>
  </si>
  <si>
    <t>Half of what I eat</t>
  </si>
  <si>
    <t>Less than half of what I eat</t>
  </si>
  <si>
    <t>Almost nothing I eat</t>
  </si>
  <si>
    <t>Nothing I eat</t>
  </si>
  <si>
    <t>How much of your water consumption comes from [Regular tap water]</t>
  </si>
  <si>
    <t>water_tap</t>
  </si>
  <si>
    <t>~25%</t>
  </si>
  <si>
    <t>~50%</t>
  </si>
  <si>
    <t>~75%</t>
  </si>
  <si>
    <t>How much of your water consumption comes from [Processed tap water (workplace water dispenser/ Brita Pitcher)) ]</t>
  </si>
  <si>
    <t>water_processed</t>
  </si>
  <si>
    <t>How much of your water consumption comes from [Still bottled water (including worplace water dispenser)]</t>
  </si>
  <si>
    <t>water_bottle</t>
  </si>
  <si>
    <t>How much of your water consumption comes from [Sparkling/carbonated water]</t>
  </si>
  <si>
    <t>water_sparkling</t>
  </si>
  <si>
    <t>How often do you have home-made meals weakly (1 week includes 7 meals of each kind) for ... [ breakfast ]</t>
  </si>
  <si>
    <t>homemade_breakfast</t>
  </si>
  <si>
    <t>Occasionally (1 to 2 meals / week)</t>
  </si>
  <si>
    <t>Frequently (2 to 4 meals / week)</t>
  </si>
  <si>
    <t>Daily (except for occasions)</t>
  </si>
  <si>
    <t>All meals (no exception)</t>
  </si>
  <si>
    <t>I skip this meal</t>
  </si>
  <si>
    <t>How often do you have home-made meals weakly (1 week includes 7 meals of each kind) for ... [ lunch]</t>
  </si>
  <si>
    <t>homemade_lunch</t>
  </si>
  <si>
    <t>How often do you have home-made meals weakly (1 week includes 7 meals of each kind) for ... [dinner]</t>
  </si>
  <si>
    <t>homemade_dinner</t>
  </si>
  <si>
    <t>How often do you snack... [fruits]</t>
  </si>
  <si>
    <t>snack_fruits</t>
  </si>
  <si>
    <t>Occasionally (1 or 2 times / week)</t>
  </si>
  <si>
    <t>Frequently (2 to 4times / week)</t>
  </si>
  <si>
    <t>Everyday (except for rare occasions)</t>
  </si>
  <si>
    <t>Several times / day</t>
  </si>
  <si>
    <t>How often do you snack... [sweets (cookies / cakes / pies)]</t>
  </si>
  <si>
    <t>snack_sweet</t>
  </si>
  <si>
    <t>How often do you snack... [savoury snacks (chips / cheetos / Fritos)]</t>
  </si>
  <si>
    <t>snack_savoury</t>
  </si>
  <si>
    <t>How often do you snack... [vegetables]</t>
  </si>
  <si>
    <t>snack_veg</t>
  </si>
  <si>
    <t xml:space="preserve">How much of what you eat is commercially processed [bread and pastries, cheese, processed meat (ground beef, sausage, ham), snacks, pastas/noodles, convenience food, fast food, tinned/canned food, granola, flours, juices, milk)]. Typical range in America is 60 to 90% </t>
  </si>
  <si>
    <t>commercial</t>
  </si>
  <si>
    <t>More than half of what I eat</t>
  </si>
  <si>
    <t>Almost everything I eat</t>
  </si>
  <si>
    <t>Everything I eat</t>
  </si>
  <si>
    <t>How often do you brush your teeth ?</t>
  </si>
  <si>
    <t>brushTeeth</t>
  </si>
  <si>
    <t>Less than once daily</t>
  </si>
  <si>
    <t>Once daily</t>
  </si>
  <si>
    <t>At least once daily</t>
  </si>
  <si>
    <t>Twice daily</t>
  </si>
  <si>
    <t>More than twice daily</t>
  </si>
  <si>
    <t>After absolutelly every meal</t>
  </si>
  <si>
    <t>oral_mouthwash</t>
  </si>
  <si>
    <t>Occasionally (once a week)</t>
  </si>
  <si>
    <t>Frequently (at least 3 times a week)</t>
  </si>
  <si>
    <t>Several times daily</t>
  </si>
  <si>
    <t>oral_chewgum</t>
  </si>
  <si>
    <t>oral_freshner</t>
  </si>
  <si>
    <t>oral_floss</t>
  </si>
  <si>
    <t>oral_interdental</t>
  </si>
  <si>
    <t>shower</t>
  </si>
  <si>
    <t>At least twice daily</t>
  </si>
  <si>
    <t>swim</t>
  </si>
  <si>
    <t>Occasionally (less than once a week)</t>
  </si>
  <si>
    <t>Regularly (once or twice a week)</t>
  </si>
  <si>
    <t>Often (at least twice a week)</t>
  </si>
  <si>
    <t>Frequently (at least 3 times a weak)</t>
  </si>
  <si>
    <t>Quantify the total time you have regularly inhaled tobacco through... [cigarette]</t>
  </si>
  <si>
    <t>smoke_cigarette</t>
  </si>
  <si>
    <t>For less than 2 years</t>
  </si>
  <si>
    <t>For more than 2 years</t>
  </si>
  <si>
    <t>For more than 5 years</t>
  </si>
  <si>
    <t>For at least 10 years</t>
  </si>
  <si>
    <t>For at least 20 years</t>
  </si>
  <si>
    <t>Quantify the total time you have regularly inhaled tobacco through... [secondhand cigarette smoke from a familly member or partner]</t>
  </si>
  <si>
    <t>smoke_secondhandCigarette</t>
  </si>
  <si>
    <t>smoke_cigar</t>
  </si>
  <si>
    <t>Quantify the total time you have regularly inhaled tobacco through... [pipe]</t>
  </si>
  <si>
    <t>smoke_pipe</t>
  </si>
  <si>
    <t>Quantify the total time you have regularly inhaled tobacco through... [e-cigarette]</t>
  </si>
  <si>
    <t>smoke_eCigarette</t>
  </si>
  <si>
    <t>Quantify the total time you have regularly inhaled tobacco through... [marijuana or cannabis]</t>
  </si>
  <si>
    <t>smoke_marijuana</t>
  </si>
  <si>
    <t>Quantify the total time you have regularly inhaled tobacco through... [other]</t>
  </si>
  <si>
    <t>smoke_other</t>
  </si>
  <si>
    <t>If you have been exposed to smoke in the past, how long have you been smoke-free... [cigarette]</t>
  </si>
  <si>
    <t>smokeFree_cigarette</t>
  </si>
  <si>
    <t>I never started</t>
  </si>
  <si>
    <t>Recently</t>
  </si>
  <si>
    <t>If you have been exposed to smoke in the past, how long have you been smoke-free... [secondhand cigarette smoke from a familly member or partner]</t>
  </si>
  <si>
    <t>smokeFree_secondhandCigarette</t>
  </si>
  <si>
    <t>smokeFree_cigar</t>
  </si>
  <si>
    <t>If you have been exposed to smoke in the past, how long have you been smoke-free... [pipe]</t>
  </si>
  <si>
    <t>smokeFree_pipe</t>
  </si>
  <si>
    <t>If you have been exposed to smoke in the past, how long have you been smoke-free... [e-cigarette]</t>
  </si>
  <si>
    <t>smokeFree_eCigarette</t>
  </si>
  <si>
    <t>If you have been exposed to smoke in the past, how long have you been smoke-free... [marijuana or cannabis]</t>
  </si>
  <si>
    <t>smokeFree_marijuana</t>
  </si>
  <si>
    <t>If you have been exposed to smoke in the past, how long have you been smoke-free... [other]</t>
  </si>
  <si>
    <t>smokeFree_other</t>
  </si>
  <si>
    <t>Rate your current stool consistency</t>
  </si>
  <si>
    <t>stoolCurr</t>
  </si>
  <si>
    <t>Rate your usual stool consistency</t>
  </si>
  <si>
    <t>stoolUsual</t>
  </si>
  <si>
    <t xml:space="preserve">Do you have episodes of mild diarrhea </t>
  </si>
  <si>
    <t>diarrhea</t>
  </si>
  <si>
    <t>Rarely (less than 1 a month)</t>
  </si>
  <si>
    <t>Occasionally (1 to 3 times /month)</t>
  </si>
  <si>
    <t>Once a week</t>
  </si>
  <si>
    <t>Several times per week</t>
  </si>
  <si>
    <t>Most of the time</t>
  </si>
  <si>
    <t>Describe frequency of ... [common head cold]</t>
  </si>
  <si>
    <t>commonProb_cold</t>
  </si>
  <si>
    <t>several times a year</t>
  </si>
  <si>
    <t>once a year</t>
  </si>
  <si>
    <t>less than once a year</t>
  </si>
  <si>
    <t>rarely (less than every 2 years)</t>
  </si>
  <si>
    <t>can't remember any sickness event in the last 5 years</t>
  </si>
  <si>
    <t>Describe frequency of ... [stomach flu]</t>
  </si>
  <si>
    <t>commonProb_flu</t>
  </si>
  <si>
    <t>Describe frequency of ... [urinary/urethral infection]</t>
  </si>
  <si>
    <t>commonProb_urinary</t>
  </si>
  <si>
    <t>When was the last time you used... [nonsteroidal anti-inflammatory drugs [Ibuprofen, Naproxen, Aspirin,...]]</t>
  </si>
  <si>
    <t>medPast_antiInflam</t>
  </si>
  <si>
    <t>less than 12h ago</t>
  </si>
  <si>
    <t>Less than 24h ago</t>
  </si>
  <si>
    <t>Less than 48h ago</t>
  </si>
  <si>
    <t>Less than a week ago</t>
  </si>
  <si>
    <t>Less than a month ago</t>
  </si>
  <si>
    <t>Less than 6 months ago</t>
  </si>
  <si>
    <t>Less than 2 years ago</t>
  </si>
  <si>
    <t>Less than 10 years ago</t>
  </si>
  <si>
    <t>More than 10 years ago</t>
  </si>
  <si>
    <t>When was the last time you used... [corticosteroids [Celestone, Prednisone Intensol,Orapred, Prelone, Florinef, Kenalog, ...])]</t>
  </si>
  <si>
    <t>medPast_corticosteroids</t>
  </si>
  <si>
    <t>When was the last time you used... [allergy symptom relief medication [Benadryl,Allegra,Claritin,Zyrtec, ...]]</t>
  </si>
  <si>
    <t>medPast_allergyMed</t>
  </si>
  <si>
    <t>When was the last time you used... [immunosupressive drugs]</t>
  </si>
  <si>
    <t>medPast_immSupressive</t>
  </si>
  <si>
    <t>When was the last time you used... [antibiotics]</t>
  </si>
  <si>
    <t>medPast_antibiotics</t>
  </si>
  <si>
    <t>When was the last time you used... [iron supplements]</t>
  </si>
  <si>
    <t>medPast_ironSuppl</t>
  </si>
  <si>
    <t>When was the last time you used... [vitamines supplements]</t>
  </si>
  <si>
    <t>medPast_vitamineSuppl</t>
  </si>
  <si>
    <t>When was the last time you used... [pain killers - non steroid]</t>
  </si>
  <si>
    <t>medPast_painKiller</t>
  </si>
  <si>
    <t>When was the last time you used... [SSRI antidepressants]</t>
  </si>
  <si>
    <t>medPast_antidepressantSSRI</t>
  </si>
  <si>
    <t>When was the last time you used... [antidepressants other than SSRI]</t>
  </si>
  <si>
    <t>medPast_antidepressantOther</t>
  </si>
  <si>
    <t>When was the last time you used... [birth control medication (including IUD)]</t>
  </si>
  <si>
    <t>medPast_birthControl</t>
  </si>
  <si>
    <t>When was the last time you used... [prediabetes medication [metformin]]</t>
  </si>
  <si>
    <t>medPast_prediabetesMed</t>
  </si>
  <si>
    <t>When was the last time you used... [proton-pump inhibotors (PPI) [Omeprazole, lansoprazole, Pantaprazole,...]]</t>
  </si>
  <si>
    <t>medPast_PPI</t>
  </si>
  <si>
    <t>When was the last time you used... [anti-viral/prep [Truvada, Acyclovir,...]]</t>
  </si>
  <si>
    <t>medPast_antiviral</t>
  </si>
  <si>
    <t>When was the last time you used... [marijuana / canabis]</t>
  </si>
  <si>
    <t>medPast_marijuana</t>
  </si>
  <si>
    <t>Regarding your current medication, indicate how long you have been using... [nonsteroidal anti-inflammatory drugs [Ibuprofen, Naproxen, Aspirin,...]]</t>
  </si>
  <si>
    <t>medCurr_antiInflam</t>
  </si>
  <si>
    <t>I am not currently using this medication</t>
  </si>
  <si>
    <t>At least 3 days</t>
  </si>
  <si>
    <t>A week</t>
  </si>
  <si>
    <t>A month</t>
  </si>
  <si>
    <t>Several months</t>
  </si>
  <si>
    <t>More than 6 months</t>
  </si>
  <si>
    <t>About a year</t>
  </si>
  <si>
    <t>More than 2 years</t>
  </si>
  <si>
    <t>Regarding your current medication, indicate how long you have been using... [corticosteroids [Celestone, Prednisone Intensol,Orapred, Prelone, Florinef, Kenalog, ...])]</t>
  </si>
  <si>
    <t>medCurr_corticosteroids</t>
  </si>
  <si>
    <t>Regarding your current medication, indicate how long you have been using... [allergy symptom relief medication [Benadryl,Allegra,Claritin,Zyrtec, ...]]</t>
  </si>
  <si>
    <t>medCurr_allergyMed</t>
  </si>
  <si>
    <t>Regarding your current medication, indicate how long you have been using... [immunosupressive drugs]</t>
  </si>
  <si>
    <t>medCurr_immSupressive</t>
  </si>
  <si>
    <t>Regarding your current medication, indicate how long you have been using... [antibiotics]</t>
  </si>
  <si>
    <t>medCurr_antibiotics</t>
  </si>
  <si>
    <t>Regarding your current medication, indicate how long you have been using... [iron supplements]</t>
  </si>
  <si>
    <t>medCurr_ironSuppl</t>
  </si>
  <si>
    <t>Regarding your current medication, indicate how long you have been using... [vitamines supplements]</t>
  </si>
  <si>
    <t>medCurr_vitamineSuppl</t>
  </si>
  <si>
    <t>Regarding your current medication, indicate how long you have been using... [pain killers - non steroid]</t>
  </si>
  <si>
    <t>medCurr_painKiller</t>
  </si>
  <si>
    <t>Regarding your current medication, indicate how long you have been using... [SSRI antidepressants]</t>
  </si>
  <si>
    <t>medCurr_antidepressantSSRI</t>
  </si>
  <si>
    <t>Regarding your current medication, indicate how long you have been using... [antidepressants other than SSRI]</t>
  </si>
  <si>
    <t>medCurr_antidepressantOther</t>
  </si>
  <si>
    <t>Regarding your current medication, indicate how long you have been using... [birth control medication (including IUD)]</t>
  </si>
  <si>
    <t>medCurr_birthControl</t>
  </si>
  <si>
    <t>Regarding your current medication, indicate how long you have been using... [prediabetes medication [metformin]]</t>
  </si>
  <si>
    <t>medCurr_prediabetesMed</t>
  </si>
  <si>
    <t>Regarding your current medication, indicate how long you have been using... [proton-pump inhibotors (PPI)[Omeprazole, lansoprazole, Pantaprazole,...]]</t>
  </si>
  <si>
    <t>medCurr_PPI</t>
  </si>
  <si>
    <t>Regarding your current medication, indicate how long you have been using... [anti-viral/prep [Truvada, Acyclovir,...]]</t>
  </si>
  <si>
    <t>medCurr_antiviral</t>
  </si>
  <si>
    <t>Regarding your current medication, indicate how long you have been using... [marijuana / canabis]</t>
  </si>
  <si>
    <t>medCurr_marijuana</t>
  </si>
  <si>
    <t>If you have been using the following medications "on and off" in the last 12 month, describe the recurring pattern of use of ... [nonsteroidal anti-inflammatory drugs [Ibuprofen, Naproxen, Aspirin,...]]</t>
  </si>
  <si>
    <t>medCurrPattern_antiInflam</t>
  </si>
  <si>
    <t>Once or twice a week</t>
  </si>
  <si>
    <t>Once or twice a month</t>
  </si>
  <si>
    <t>Every other month</t>
  </si>
  <si>
    <t>Every 4 to 6 months</t>
  </si>
  <si>
    <t>I haven't use this medication in the last 12 months</t>
  </si>
  <si>
    <t>If you have been using the following medications "on and off" in the last 12 month, describe the recurring pattern of use of ... [corticosteroids [Celestone, Prednisone Intensol,Orapred, Prelone, Florinef, Kenalog, ...])]</t>
  </si>
  <si>
    <t>medCurrPattern_corticosteroids</t>
  </si>
  <si>
    <t>If you have been using the following medications "on and off" in the last 12 month, describe the recurring pattern of use of ... [allergy symptom relief medication [Benadryl,Allegra,Claritin,Zyrtec, ...]]</t>
  </si>
  <si>
    <t>medCurrPattern_allergyMed</t>
  </si>
  <si>
    <t>If you have been using the following medications "on and off" in the last 12 month, describe the recurring pattern of use of ... [immunosupressive drugs]</t>
  </si>
  <si>
    <t>medCurrPattern_immSupressive</t>
  </si>
  <si>
    <t>If you have been using the following medications "on and off" in the last 12 month, describe the recurring pattern of use of ... [antibiotics]</t>
  </si>
  <si>
    <t>medCurrPattern_antibiotics</t>
  </si>
  <si>
    <t>If you have been using the following medications "on and off" in the last 12 month, describe the recurring pattern of use of ... [iron supplements]</t>
  </si>
  <si>
    <t>medCurrPattern_ironSuppl</t>
  </si>
  <si>
    <t>If you have been using the following medications "on and off" in the last 12 month, describe the recurring pattern of use of ... [vitamines supplements]</t>
  </si>
  <si>
    <t>medCurrPattern_vitamineSuppl</t>
  </si>
  <si>
    <t>If you have been using the following medications "on and off" in the last 12 month, describe the recurring pattern of use of ... [pain killers - non steroid]</t>
  </si>
  <si>
    <t>medCurrPattern_painKiller</t>
  </si>
  <si>
    <t>If you have been using the following medications "on and off" in the last 12 month, describe the recurring pattern of use of ... [SSRI antidepressants]</t>
  </si>
  <si>
    <t>medCurrPattern_antidepressantSSRI</t>
  </si>
  <si>
    <t>If you have been using the following medications "on and off" in the last 12 month, describe the recurring pattern of use of ... [Antidepressants other than SSRI]</t>
  </si>
  <si>
    <t>medCurrPattern_antidepressantOther</t>
  </si>
  <si>
    <t>If you have been using the following medications "on and off" in the last 12 month, describe the recurring pattern of use of ... [prediabetes medication [metformin]]</t>
  </si>
  <si>
    <t>medCurrPattern_prediabetesMed</t>
  </si>
  <si>
    <t>If you have been using the following medications "on and off" in the last 12 month, describe the recurring pattern of use of ... [proton-pump inhibotors (PPI)[Omeprazole, lansoprazole, Pantaprazole,...]]</t>
  </si>
  <si>
    <t>medCurrPattern_PPI</t>
  </si>
  <si>
    <t>If you have been using the following medications "on and off" in the last 12 month, describe the recurring pattern of use of ... [anti-viral/prep [Truvada, Acyclovir,...]]</t>
  </si>
  <si>
    <t>medCurrPattern_antiviral</t>
  </si>
  <si>
    <t>If you have been using the following medications "on and off" in the last 12 month, describe the recurring pattern of use of ... [marijuana / canabis]</t>
  </si>
  <si>
    <t>medCurrPattern_marijuana</t>
  </si>
  <si>
    <t>sleepMoreLess</t>
  </si>
  <si>
    <t>sleeping as much as ussual</t>
  </si>
  <si>
    <t>sleeping less than usual</t>
  </si>
  <si>
    <t>sleeping more than usual</t>
  </si>
  <si>
    <t>physicalActivity</t>
  </si>
  <si>
    <t>Regularly (once to twice a week)</t>
  </si>
  <si>
    <t>Over the last 2 weeks, how often have you been bothered by any of the following problems? [Little interest or pleasure in doing things]</t>
  </si>
  <si>
    <t>distress_lackInterest</t>
  </si>
  <si>
    <t>Not at all</t>
  </si>
  <si>
    <t>Several days</t>
  </si>
  <si>
    <t>More than half the days</t>
  </si>
  <si>
    <t>Nearly every day</t>
  </si>
  <si>
    <t>Over the last 2 weeks, how often have you been bothered by any of the following problems? [Feeling down, depressed, or hopeless]</t>
  </si>
  <si>
    <t>distress_depressed</t>
  </si>
  <si>
    <t>Over the last 2 weeks, how often have you been bothered by any of the following problems? [Trouble falling or staying asleep, or sleeping too much]</t>
  </si>
  <si>
    <t>distress_lackSleep</t>
  </si>
  <si>
    <t>Over the last 2 weeks, how often have you been bothered by any of the following problems? [Feeling tired or having little energy]</t>
  </si>
  <si>
    <t>distress_feelTired</t>
  </si>
  <si>
    <t>Over the last 2 weeks, how often have you been bothered by any of the following problems? [Poor appetite or overeating]</t>
  </si>
  <si>
    <t>distress_abnormalEating</t>
  </si>
  <si>
    <t>Over the last 2 weeks, how often have you been bothered by any of the following problems? [Feeling bad about yourself or that you are a failure or your family down.]</t>
  </si>
  <si>
    <t>distress_feelFailed</t>
  </si>
  <si>
    <t>Over the last 2 weeks, how often have you been bothered by any of the following problems? [Trouble concentrating on things, such as reading the newspaper or watching television]</t>
  </si>
  <si>
    <t>distress_distracted</t>
  </si>
  <si>
    <t>Over the last 2 weeks, how often have you been bothered by any of the following problems? [Moving or speaking so slowly that other people could have noticed. Or the opposite-- being so fidgety or restless that you have been moving around a lot more than usual]</t>
  </si>
  <si>
    <t>distress_abnormalMovingSpeaking</t>
  </si>
  <si>
    <t>code_1</t>
  </si>
  <si>
    <t>code_2</t>
  </si>
  <si>
    <t>Do you use... [oral lotions / mouthwashs]</t>
  </si>
  <si>
    <t>Do you use... [chewing gum]</t>
  </si>
  <si>
    <t>Do you use... [breath freshener]</t>
  </si>
  <si>
    <t>Do you use... [floss]</t>
  </si>
  <si>
    <t>Do you use... [interdental brushes]</t>
  </si>
  <si>
    <t>How often do you shower</t>
  </si>
  <si>
    <t>Do you practice swimming in a swimming pool</t>
  </si>
  <si>
    <t xml:space="preserve">Are you currently </t>
  </si>
  <si>
    <t>How often do you practice physical activity</t>
  </si>
  <si>
    <t>code_3</t>
  </si>
  <si>
    <t>2 times a week</t>
  </si>
  <si>
    <t>Every other day</t>
  </si>
  <si>
    <t>More than 5 times a week</t>
  </si>
  <si>
    <t>very light daily walking</t>
  </si>
  <si>
    <t>Walk 20 min daily</t>
  </si>
  <si>
    <t>var</t>
  </si>
  <si>
    <t>No more than  2 days</t>
  </si>
  <si>
    <t>0%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</si>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</sst>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4" borderId="0" xfId="0" applyFill="1"/>
    <xf numFmtId="2" fontId="0" fillId="0" borderId="0" xfId="0" applyNumberFormat="1"/>
    <xf numFmtId="2" fontId="0" fillId="34" borderId="0" xfId="0" applyNumberFormat="1" applyFill="1"/>
    <xf numFmtId="0" fontId="0" fillId="0" borderId="0" xfId="0" applyFill="1"/>
    <xf numFmtId="9" fontId="0" fillId="34" borderId="0" xfId="0" quotePrefix="1" applyNumberFormat="1" applyFill="1"/>
    <xf numFmtId="9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0"/>
  <sheetViews>
    <sheetView tabSelected="1" topLeftCell="A927" workbookViewId="0">
      <selection activeCell="C934" sqref="C934"/>
    </sheetView>
  </sheetViews>
  <sheetFormatPr defaultRowHeight="15" x14ac:dyDescent="0.25"/>
  <cols>
    <col min="1" max="1" width="37" customWidth="1"/>
    <col min="2" max="2" width="35.5703125" bestFit="1" customWidth="1"/>
    <col min="3" max="3" width="52.42578125" bestFit="1" customWidth="1"/>
  </cols>
  <sheetData>
    <row r="1" spans="1:6" x14ac:dyDescent="0.25">
      <c r="A1" t="s">
        <v>0</v>
      </c>
      <c r="B1" t="s">
        <v>407</v>
      </c>
      <c r="C1" t="s">
        <v>1</v>
      </c>
      <c r="D1" t="s">
        <v>390</v>
      </c>
      <c r="E1" t="s">
        <v>391</v>
      </c>
      <c r="F1" t="s">
        <v>401</v>
      </c>
    </row>
    <row r="2" spans="1:6" s="2" customFormat="1" x14ac:dyDescent="0.25">
      <c r="A2" s="2" t="s">
        <v>2</v>
      </c>
      <c r="B2" s="2" t="s">
        <v>3</v>
      </c>
      <c r="C2" s="2" t="s">
        <v>4</v>
      </c>
      <c r="E2" s="2">
        <v>0</v>
      </c>
      <c r="F2" s="2">
        <f>E2/MAX(E$2:E$8)</f>
        <v>0</v>
      </c>
    </row>
    <row r="3" spans="1:6" s="2" customFormat="1" x14ac:dyDescent="0.25">
      <c r="A3" s="2" t="s">
        <v>2</v>
      </c>
      <c r="B3" s="2" t="s">
        <v>3</v>
      </c>
      <c r="C3" s="2" t="s">
        <v>5</v>
      </c>
      <c r="E3" s="2">
        <v>0.5</v>
      </c>
      <c r="F3" s="2">
        <f t="shared" ref="F3:F8" si="0">E3/MAX(E$2:E$8)</f>
        <v>2.3809523809523808E-2</v>
      </c>
    </row>
    <row r="4" spans="1:6" s="2" customFormat="1" x14ac:dyDescent="0.25">
      <c r="A4" s="2" t="s">
        <v>2</v>
      </c>
      <c r="B4" s="2" t="s">
        <v>3</v>
      </c>
      <c r="C4" s="2" t="s">
        <v>6</v>
      </c>
      <c r="E4" s="2">
        <v>1.5</v>
      </c>
      <c r="F4" s="2">
        <f t="shared" si="0"/>
        <v>7.1428571428571425E-2</v>
      </c>
    </row>
    <row r="5" spans="1:6" s="2" customFormat="1" x14ac:dyDescent="0.25">
      <c r="A5" s="2" t="s">
        <v>2</v>
      </c>
      <c r="B5" s="2" t="s">
        <v>3</v>
      </c>
      <c r="C5" s="2" t="s">
        <v>7</v>
      </c>
      <c r="E5" s="2">
        <v>5</v>
      </c>
      <c r="F5" s="2">
        <f t="shared" si="0"/>
        <v>0.23809523809523808</v>
      </c>
    </row>
    <row r="6" spans="1:6" s="2" customFormat="1" x14ac:dyDescent="0.25">
      <c r="A6" s="2" t="s">
        <v>2</v>
      </c>
      <c r="B6" s="2" t="s">
        <v>3</v>
      </c>
      <c r="C6" s="2" t="s">
        <v>8</v>
      </c>
      <c r="E6" s="2">
        <v>10</v>
      </c>
      <c r="F6" s="2">
        <f t="shared" si="0"/>
        <v>0.47619047619047616</v>
      </c>
    </row>
    <row r="7" spans="1:6" s="2" customFormat="1" x14ac:dyDescent="0.25">
      <c r="A7" s="2" t="s">
        <v>2</v>
      </c>
      <c r="B7" s="2" t="s">
        <v>3</v>
      </c>
      <c r="C7" s="2" t="s">
        <v>9</v>
      </c>
      <c r="E7" s="2">
        <v>17</v>
      </c>
      <c r="F7" s="2">
        <f t="shared" si="0"/>
        <v>0.80952380952380953</v>
      </c>
    </row>
    <row r="8" spans="1:6" s="2" customFormat="1" x14ac:dyDescent="0.25">
      <c r="A8" s="2" t="s">
        <v>2</v>
      </c>
      <c r="B8" s="2" t="s">
        <v>3</v>
      </c>
      <c r="C8" s="2" t="s">
        <v>10</v>
      </c>
      <c r="E8" s="2">
        <v>21</v>
      </c>
      <c r="F8" s="2">
        <f t="shared" si="0"/>
        <v>1</v>
      </c>
    </row>
    <row r="9" spans="1:6" x14ac:dyDescent="0.25">
      <c r="A9" t="s">
        <v>11</v>
      </c>
      <c r="B9" t="s">
        <v>12</v>
      </c>
      <c r="C9" t="s">
        <v>4</v>
      </c>
      <c r="E9">
        <f>E$2</f>
        <v>0</v>
      </c>
      <c r="F9" s="5">
        <f>F2</f>
        <v>0</v>
      </c>
    </row>
    <row r="10" spans="1:6" x14ac:dyDescent="0.25">
      <c r="A10" t="s">
        <v>11</v>
      </c>
      <c r="B10" t="s">
        <v>12</v>
      </c>
      <c r="C10" t="s">
        <v>5</v>
      </c>
      <c r="E10">
        <f>E$3</f>
        <v>0.5</v>
      </c>
      <c r="F10" s="5">
        <f t="shared" ref="F10:F57" si="1">F3</f>
        <v>2.3809523809523808E-2</v>
      </c>
    </row>
    <row r="11" spans="1:6" x14ac:dyDescent="0.25">
      <c r="A11" t="s">
        <v>11</v>
      </c>
      <c r="B11" t="s">
        <v>12</v>
      </c>
      <c r="C11" t="s">
        <v>6</v>
      </c>
      <c r="E11">
        <f>E$4</f>
        <v>1.5</v>
      </c>
      <c r="F11" s="5">
        <f t="shared" si="1"/>
        <v>7.1428571428571425E-2</v>
      </c>
    </row>
    <row r="12" spans="1:6" x14ac:dyDescent="0.25">
      <c r="A12" t="s">
        <v>11</v>
      </c>
      <c r="B12" t="s">
        <v>12</v>
      </c>
      <c r="C12" t="s">
        <v>7</v>
      </c>
      <c r="E12">
        <f>E$5</f>
        <v>5</v>
      </c>
      <c r="F12" s="5">
        <f t="shared" si="1"/>
        <v>0.23809523809523808</v>
      </c>
    </row>
    <row r="13" spans="1:6" x14ac:dyDescent="0.25">
      <c r="A13" t="s">
        <v>11</v>
      </c>
      <c r="B13" t="s">
        <v>12</v>
      </c>
      <c r="C13" t="s">
        <v>8</v>
      </c>
      <c r="E13">
        <f>E$6</f>
        <v>10</v>
      </c>
      <c r="F13" s="5">
        <f t="shared" si="1"/>
        <v>0.47619047619047616</v>
      </c>
    </row>
    <row r="14" spans="1:6" x14ac:dyDescent="0.25">
      <c r="A14" t="s">
        <v>11</v>
      </c>
      <c r="B14" t="s">
        <v>12</v>
      </c>
      <c r="C14" t="s">
        <v>9</v>
      </c>
      <c r="E14">
        <f>E$7</f>
        <v>17</v>
      </c>
      <c r="F14" s="5">
        <f t="shared" si="1"/>
        <v>0.80952380952380953</v>
      </c>
    </row>
    <row r="15" spans="1:6" x14ac:dyDescent="0.25">
      <c r="A15" t="s">
        <v>11</v>
      </c>
      <c r="B15" t="s">
        <v>12</v>
      </c>
      <c r="C15" t="s">
        <v>10</v>
      </c>
      <c r="E15">
        <f>E$8</f>
        <v>21</v>
      </c>
      <c r="F15" s="5">
        <f t="shared" si="1"/>
        <v>1</v>
      </c>
    </row>
    <row r="16" spans="1:6" x14ac:dyDescent="0.25">
      <c r="A16" t="s">
        <v>13</v>
      </c>
      <c r="B16" t="s">
        <v>14</v>
      </c>
      <c r="C16" t="s">
        <v>4</v>
      </c>
      <c r="E16">
        <f>E$2</f>
        <v>0</v>
      </c>
      <c r="F16" s="5">
        <f t="shared" si="1"/>
        <v>0</v>
      </c>
    </row>
    <row r="17" spans="1:6" x14ac:dyDescent="0.25">
      <c r="A17" t="s">
        <v>13</v>
      </c>
      <c r="B17" t="s">
        <v>14</v>
      </c>
      <c r="C17" t="s">
        <v>5</v>
      </c>
      <c r="E17">
        <f>E$3</f>
        <v>0.5</v>
      </c>
      <c r="F17" s="5">
        <f t="shared" si="1"/>
        <v>2.3809523809523808E-2</v>
      </c>
    </row>
    <row r="18" spans="1:6" x14ac:dyDescent="0.25">
      <c r="A18" t="s">
        <v>13</v>
      </c>
      <c r="B18" t="s">
        <v>14</v>
      </c>
      <c r="C18" t="s">
        <v>6</v>
      </c>
      <c r="E18">
        <f>E$4</f>
        <v>1.5</v>
      </c>
      <c r="F18" s="5">
        <f t="shared" si="1"/>
        <v>7.1428571428571425E-2</v>
      </c>
    </row>
    <row r="19" spans="1:6" x14ac:dyDescent="0.25">
      <c r="A19" t="s">
        <v>13</v>
      </c>
      <c r="B19" t="s">
        <v>14</v>
      </c>
      <c r="C19" t="s">
        <v>7</v>
      </c>
      <c r="E19">
        <f>E$5</f>
        <v>5</v>
      </c>
      <c r="F19" s="5">
        <f t="shared" si="1"/>
        <v>0.23809523809523808</v>
      </c>
    </row>
    <row r="20" spans="1:6" x14ac:dyDescent="0.25">
      <c r="A20" t="s">
        <v>13</v>
      </c>
      <c r="B20" t="s">
        <v>14</v>
      </c>
      <c r="C20" t="s">
        <v>8</v>
      </c>
      <c r="E20">
        <f>E$6</f>
        <v>10</v>
      </c>
      <c r="F20" s="5">
        <f t="shared" si="1"/>
        <v>0.47619047619047616</v>
      </c>
    </row>
    <row r="21" spans="1:6" x14ac:dyDescent="0.25">
      <c r="A21" t="s">
        <v>13</v>
      </c>
      <c r="B21" t="s">
        <v>14</v>
      </c>
      <c r="C21" t="s">
        <v>9</v>
      </c>
      <c r="E21">
        <f>E$7</f>
        <v>17</v>
      </c>
      <c r="F21" s="5">
        <f t="shared" si="1"/>
        <v>0.80952380952380953</v>
      </c>
    </row>
    <row r="22" spans="1:6" x14ac:dyDescent="0.25">
      <c r="A22" t="s">
        <v>13</v>
      </c>
      <c r="B22" t="s">
        <v>14</v>
      </c>
      <c r="C22" t="s">
        <v>10</v>
      </c>
      <c r="E22">
        <f>E$8</f>
        <v>21</v>
      </c>
      <c r="F22" s="5">
        <f t="shared" si="1"/>
        <v>1</v>
      </c>
    </row>
    <row r="23" spans="1:6" x14ac:dyDescent="0.25">
      <c r="A23" t="s">
        <v>15</v>
      </c>
      <c r="B23" t="s">
        <v>16</v>
      </c>
      <c r="C23" t="s">
        <v>4</v>
      </c>
      <c r="E23">
        <f>E$2</f>
        <v>0</v>
      </c>
      <c r="F23" s="5">
        <f t="shared" si="1"/>
        <v>0</v>
      </c>
    </row>
    <row r="24" spans="1:6" x14ac:dyDescent="0.25">
      <c r="A24" t="s">
        <v>15</v>
      </c>
      <c r="B24" t="s">
        <v>16</v>
      </c>
      <c r="C24" t="s">
        <v>5</v>
      </c>
      <c r="E24">
        <f>E$3</f>
        <v>0.5</v>
      </c>
      <c r="F24" s="5">
        <f t="shared" si="1"/>
        <v>2.3809523809523808E-2</v>
      </c>
    </row>
    <row r="25" spans="1:6" x14ac:dyDescent="0.25">
      <c r="A25" t="s">
        <v>15</v>
      </c>
      <c r="B25" t="s">
        <v>16</v>
      </c>
      <c r="C25" t="s">
        <v>6</v>
      </c>
      <c r="E25">
        <f>E$4</f>
        <v>1.5</v>
      </c>
      <c r="F25" s="5">
        <f t="shared" si="1"/>
        <v>7.1428571428571425E-2</v>
      </c>
    </row>
    <row r="26" spans="1:6" x14ac:dyDescent="0.25">
      <c r="A26" t="s">
        <v>15</v>
      </c>
      <c r="B26" t="s">
        <v>16</v>
      </c>
      <c r="C26" t="s">
        <v>7</v>
      </c>
      <c r="E26">
        <f>E$5</f>
        <v>5</v>
      </c>
      <c r="F26" s="5">
        <f t="shared" si="1"/>
        <v>0.23809523809523808</v>
      </c>
    </row>
    <row r="27" spans="1:6" x14ac:dyDescent="0.25">
      <c r="A27" t="s">
        <v>15</v>
      </c>
      <c r="B27" t="s">
        <v>16</v>
      </c>
      <c r="C27" t="s">
        <v>8</v>
      </c>
      <c r="E27">
        <f>E$6</f>
        <v>10</v>
      </c>
      <c r="F27" s="5">
        <f t="shared" si="1"/>
        <v>0.47619047619047616</v>
      </c>
    </row>
    <row r="28" spans="1:6" x14ac:dyDescent="0.25">
      <c r="A28" t="s">
        <v>15</v>
      </c>
      <c r="B28" t="s">
        <v>16</v>
      </c>
      <c r="C28" t="s">
        <v>9</v>
      </c>
      <c r="E28">
        <f>E$7</f>
        <v>17</v>
      </c>
      <c r="F28" s="5">
        <f t="shared" si="1"/>
        <v>0.80952380952380953</v>
      </c>
    </row>
    <row r="29" spans="1:6" x14ac:dyDescent="0.25">
      <c r="A29" t="s">
        <v>15</v>
      </c>
      <c r="B29" t="s">
        <v>16</v>
      </c>
      <c r="C29" t="s">
        <v>10</v>
      </c>
      <c r="E29">
        <f>E$8</f>
        <v>21</v>
      </c>
      <c r="F29" s="5">
        <f t="shared" si="1"/>
        <v>1</v>
      </c>
    </row>
    <row r="30" spans="1:6" x14ac:dyDescent="0.25">
      <c r="A30" t="s">
        <v>17</v>
      </c>
      <c r="B30" t="s">
        <v>18</v>
      </c>
      <c r="C30" t="s">
        <v>4</v>
      </c>
      <c r="E30">
        <f>E$2</f>
        <v>0</v>
      </c>
      <c r="F30" s="5">
        <f t="shared" si="1"/>
        <v>0</v>
      </c>
    </row>
    <row r="31" spans="1:6" x14ac:dyDescent="0.25">
      <c r="A31" t="s">
        <v>17</v>
      </c>
      <c r="B31" t="s">
        <v>18</v>
      </c>
      <c r="C31" t="s">
        <v>5</v>
      </c>
      <c r="E31">
        <f>E$3</f>
        <v>0.5</v>
      </c>
      <c r="F31" s="5">
        <f t="shared" si="1"/>
        <v>2.3809523809523808E-2</v>
      </c>
    </row>
    <row r="32" spans="1:6" x14ac:dyDescent="0.25">
      <c r="A32" t="s">
        <v>17</v>
      </c>
      <c r="B32" t="s">
        <v>18</v>
      </c>
      <c r="C32" t="s">
        <v>6</v>
      </c>
      <c r="E32">
        <f>E$4</f>
        <v>1.5</v>
      </c>
      <c r="F32" s="5">
        <f t="shared" si="1"/>
        <v>7.1428571428571425E-2</v>
      </c>
    </row>
    <row r="33" spans="1:6" x14ac:dyDescent="0.25">
      <c r="A33" t="s">
        <v>17</v>
      </c>
      <c r="B33" t="s">
        <v>18</v>
      </c>
      <c r="C33" t="s">
        <v>7</v>
      </c>
      <c r="E33">
        <f>E$5</f>
        <v>5</v>
      </c>
      <c r="F33" s="5">
        <f t="shared" si="1"/>
        <v>0.23809523809523808</v>
      </c>
    </row>
    <row r="34" spans="1:6" x14ac:dyDescent="0.25">
      <c r="A34" t="s">
        <v>17</v>
      </c>
      <c r="B34" t="s">
        <v>18</v>
      </c>
      <c r="C34" t="s">
        <v>8</v>
      </c>
      <c r="E34">
        <f>E$6</f>
        <v>10</v>
      </c>
      <c r="F34" s="5">
        <f t="shared" si="1"/>
        <v>0.47619047619047616</v>
      </c>
    </row>
    <row r="35" spans="1:6" x14ac:dyDescent="0.25">
      <c r="A35" t="s">
        <v>17</v>
      </c>
      <c r="B35" t="s">
        <v>18</v>
      </c>
      <c r="C35" t="s">
        <v>9</v>
      </c>
      <c r="E35">
        <f>E$7</f>
        <v>17</v>
      </c>
      <c r="F35" s="5">
        <f t="shared" si="1"/>
        <v>0.80952380952380953</v>
      </c>
    </row>
    <row r="36" spans="1:6" x14ac:dyDescent="0.25">
      <c r="A36" t="s">
        <v>17</v>
      </c>
      <c r="B36" t="s">
        <v>18</v>
      </c>
      <c r="C36" t="s">
        <v>10</v>
      </c>
      <c r="E36">
        <f>E$8</f>
        <v>21</v>
      </c>
      <c r="F36" s="5">
        <f t="shared" si="1"/>
        <v>1</v>
      </c>
    </row>
    <row r="37" spans="1:6" x14ac:dyDescent="0.25">
      <c r="A37" t="s">
        <v>19</v>
      </c>
      <c r="B37" t="s">
        <v>20</v>
      </c>
      <c r="C37" t="s">
        <v>4</v>
      </c>
      <c r="E37">
        <f>E$2</f>
        <v>0</v>
      </c>
      <c r="F37" s="5">
        <f t="shared" si="1"/>
        <v>0</v>
      </c>
    </row>
    <row r="38" spans="1:6" x14ac:dyDescent="0.25">
      <c r="A38" t="s">
        <v>19</v>
      </c>
      <c r="B38" t="s">
        <v>20</v>
      </c>
      <c r="C38" t="s">
        <v>5</v>
      </c>
      <c r="E38">
        <f>E$3</f>
        <v>0.5</v>
      </c>
      <c r="F38" s="5">
        <f t="shared" si="1"/>
        <v>2.3809523809523808E-2</v>
      </c>
    </row>
    <row r="39" spans="1:6" x14ac:dyDescent="0.25">
      <c r="A39" t="s">
        <v>19</v>
      </c>
      <c r="B39" t="s">
        <v>20</v>
      </c>
      <c r="C39" t="s">
        <v>6</v>
      </c>
      <c r="E39">
        <f>E$4</f>
        <v>1.5</v>
      </c>
      <c r="F39" s="5">
        <f t="shared" si="1"/>
        <v>7.1428571428571425E-2</v>
      </c>
    </row>
    <row r="40" spans="1:6" x14ac:dyDescent="0.25">
      <c r="A40" t="s">
        <v>19</v>
      </c>
      <c r="B40" t="s">
        <v>20</v>
      </c>
      <c r="C40" t="s">
        <v>7</v>
      </c>
      <c r="E40">
        <f>E$5</f>
        <v>5</v>
      </c>
      <c r="F40" s="5">
        <f t="shared" si="1"/>
        <v>0.23809523809523808</v>
      </c>
    </row>
    <row r="41" spans="1:6" x14ac:dyDescent="0.25">
      <c r="A41" t="s">
        <v>19</v>
      </c>
      <c r="B41" t="s">
        <v>20</v>
      </c>
      <c r="C41" t="s">
        <v>8</v>
      </c>
      <c r="E41">
        <f>E$6</f>
        <v>10</v>
      </c>
      <c r="F41" s="5">
        <f t="shared" si="1"/>
        <v>0.47619047619047616</v>
      </c>
    </row>
    <row r="42" spans="1:6" x14ac:dyDescent="0.25">
      <c r="A42" t="s">
        <v>19</v>
      </c>
      <c r="B42" t="s">
        <v>20</v>
      </c>
      <c r="C42" t="s">
        <v>9</v>
      </c>
      <c r="E42">
        <f>E$7</f>
        <v>17</v>
      </c>
      <c r="F42" s="5">
        <f t="shared" si="1"/>
        <v>0.80952380952380953</v>
      </c>
    </row>
    <row r="43" spans="1:6" x14ac:dyDescent="0.25">
      <c r="A43" t="s">
        <v>19</v>
      </c>
      <c r="B43" t="s">
        <v>20</v>
      </c>
      <c r="C43" t="s">
        <v>10</v>
      </c>
      <c r="E43">
        <f>E$8</f>
        <v>21</v>
      </c>
      <c r="F43" s="5">
        <f t="shared" si="1"/>
        <v>1</v>
      </c>
    </row>
    <row r="44" spans="1:6" x14ac:dyDescent="0.25">
      <c r="A44" t="s">
        <v>21</v>
      </c>
      <c r="B44" t="s">
        <v>22</v>
      </c>
      <c r="C44" t="s">
        <v>4</v>
      </c>
      <c r="E44">
        <f>E$2</f>
        <v>0</v>
      </c>
      <c r="F44" s="5">
        <f t="shared" si="1"/>
        <v>0</v>
      </c>
    </row>
    <row r="45" spans="1:6" x14ac:dyDescent="0.25">
      <c r="A45" t="s">
        <v>21</v>
      </c>
      <c r="B45" t="s">
        <v>22</v>
      </c>
      <c r="C45" t="s">
        <v>5</v>
      </c>
      <c r="E45">
        <f>E$3</f>
        <v>0.5</v>
      </c>
      <c r="F45" s="5">
        <f t="shared" si="1"/>
        <v>2.3809523809523808E-2</v>
      </c>
    </row>
    <row r="46" spans="1:6" x14ac:dyDescent="0.25">
      <c r="A46" t="s">
        <v>21</v>
      </c>
      <c r="B46" t="s">
        <v>22</v>
      </c>
      <c r="C46" t="s">
        <v>6</v>
      </c>
      <c r="E46">
        <f>E$4</f>
        <v>1.5</v>
      </c>
      <c r="F46" s="5">
        <f t="shared" si="1"/>
        <v>7.1428571428571425E-2</v>
      </c>
    </row>
    <row r="47" spans="1:6" x14ac:dyDescent="0.25">
      <c r="A47" t="s">
        <v>21</v>
      </c>
      <c r="B47" t="s">
        <v>22</v>
      </c>
      <c r="C47" t="s">
        <v>7</v>
      </c>
      <c r="E47">
        <f>E$5</f>
        <v>5</v>
      </c>
      <c r="F47" s="5">
        <f t="shared" si="1"/>
        <v>0.23809523809523808</v>
      </c>
    </row>
    <row r="48" spans="1:6" x14ac:dyDescent="0.25">
      <c r="A48" t="s">
        <v>21</v>
      </c>
      <c r="B48" t="s">
        <v>22</v>
      </c>
      <c r="C48" t="s">
        <v>8</v>
      </c>
      <c r="E48">
        <f>E$6</f>
        <v>10</v>
      </c>
      <c r="F48" s="5">
        <f t="shared" si="1"/>
        <v>0.47619047619047616</v>
      </c>
    </row>
    <row r="49" spans="1:6" x14ac:dyDescent="0.25">
      <c r="A49" t="s">
        <v>21</v>
      </c>
      <c r="B49" t="s">
        <v>22</v>
      </c>
      <c r="C49" t="s">
        <v>9</v>
      </c>
      <c r="E49">
        <f>E$7</f>
        <v>17</v>
      </c>
      <c r="F49" s="5">
        <f t="shared" si="1"/>
        <v>0.80952380952380953</v>
      </c>
    </row>
    <row r="50" spans="1:6" x14ac:dyDescent="0.25">
      <c r="A50" t="s">
        <v>21</v>
      </c>
      <c r="B50" t="s">
        <v>22</v>
      </c>
      <c r="C50" t="s">
        <v>10</v>
      </c>
      <c r="E50">
        <f>E$8</f>
        <v>21</v>
      </c>
      <c r="F50" s="5">
        <f t="shared" si="1"/>
        <v>1</v>
      </c>
    </row>
    <row r="51" spans="1:6" x14ac:dyDescent="0.25">
      <c r="A51" t="s">
        <v>23</v>
      </c>
      <c r="B51" t="s">
        <v>24</v>
      </c>
      <c r="C51" t="s">
        <v>4</v>
      </c>
      <c r="E51">
        <f>E$2</f>
        <v>0</v>
      </c>
      <c r="F51" s="5">
        <f t="shared" si="1"/>
        <v>0</v>
      </c>
    </row>
    <row r="52" spans="1:6" x14ac:dyDescent="0.25">
      <c r="A52" t="s">
        <v>23</v>
      </c>
      <c r="B52" t="s">
        <v>24</v>
      </c>
      <c r="C52" t="s">
        <v>5</v>
      </c>
      <c r="E52">
        <f>E$3</f>
        <v>0.5</v>
      </c>
      <c r="F52" s="5">
        <f t="shared" si="1"/>
        <v>2.3809523809523808E-2</v>
      </c>
    </row>
    <row r="53" spans="1:6" x14ac:dyDescent="0.25">
      <c r="A53" t="s">
        <v>23</v>
      </c>
      <c r="B53" t="s">
        <v>24</v>
      </c>
      <c r="C53" t="s">
        <v>6</v>
      </c>
      <c r="E53">
        <f>E$4</f>
        <v>1.5</v>
      </c>
      <c r="F53" s="5">
        <f t="shared" si="1"/>
        <v>7.1428571428571425E-2</v>
      </c>
    </row>
    <row r="54" spans="1:6" x14ac:dyDescent="0.25">
      <c r="A54" t="s">
        <v>23</v>
      </c>
      <c r="B54" t="s">
        <v>24</v>
      </c>
      <c r="C54" t="s">
        <v>7</v>
      </c>
      <c r="E54">
        <f>E$5</f>
        <v>5</v>
      </c>
      <c r="F54" s="5">
        <f t="shared" si="1"/>
        <v>0.23809523809523808</v>
      </c>
    </row>
    <row r="55" spans="1:6" x14ac:dyDescent="0.25">
      <c r="A55" t="s">
        <v>23</v>
      </c>
      <c r="B55" t="s">
        <v>24</v>
      </c>
      <c r="C55" t="s">
        <v>8</v>
      </c>
      <c r="E55">
        <f>E$6</f>
        <v>10</v>
      </c>
      <c r="F55" s="5">
        <f t="shared" si="1"/>
        <v>0.47619047619047616</v>
      </c>
    </row>
    <row r="56" spans="1:6" x14ac:dyDescent="0.25">
      <c r="A56" t="s">
        <v>23</v>
      </c>
      <c r="B56" t="s">
        <v>24</v>
      </c>
      <c r="C56" t="s">
        <v>9</v>
      </c>
      <c r="E56">
        <f>E$7</f>
        <v>17</v>
      </c>
      <c r="F56" s="5">
        <f t="shared" si="1"/>
        <v>0.80952380952380953</v>
      </c>
    </row>
    <row r="57" spans="1:6" x14ac:dyDescent="0.25">
      <c r="A57" t="s">
        <v>23</v>
      </c>
      <c r="B57" t="s">
        <v>24</v>
      </c>
      <c r="C57" t="s">
        <v>10</v>
      </c>
      <c r="E57">
        <f>E$8</f>
        <v>21</v>
      </c>
      <c r="F57" s="5">
        <f t="shared" si="1"/>
        <v>1</v>
      </c>
    </row>
    <row r="58" spans="1:6" s="2" customFormat="1" x14ac:dyDescent="0.25">
      <c r="A58" s="2" t="s">
        <v>25</v>
      </c>
      <c r="B58" s="2" t="s">
        <v>26</v>
      </c>
      <c r="C58" s="2" t="s">
        <v>4</v>
      </c>
      <c r="E58" s="2">
        <v>0</v>
      </c>
      <c r="F58" s="2">
        <f>E58/MAX(E$58:E$64)</f>
        <v>0</v>
      </c>
    </row>
    <row r="59" spans="1:6" s="2" customFormat="1" x14ac:dyDescent="0.25">
      <c r="A59" s="2" t="s">
        <v>25</v>
      </c>
      <c r="B59" s="2" t="s">
        <v>26</v>
      </c>
      <c r="C59" s="2" t="s">
        <v>5</v>
      </c>
      <c r="E59" s="2">
        <v>0.5</v>
      </c>
      <c r="F59" s="2">
        <f t="shared" ref="F59:F64" si="2">E59/MAX(E$58:E$64)</f>
        <v>2.3809523809523808E-2</v>
      </c>
    </row>
    <row r="60" spans="1:6" s="2" customFormat="1" x14ac:dyDescent="0.25">
      <c r="A60" s="2" t="s">
        <v>25</v>
      </c>
      <c r="B60" s="2" t="s">
        <v>26</v>
      </c>
      <c r="C60" s="2" t="s">
        <v>6</v>
      </c>
      <c r="E60" s="2">
        <v>1.5</v>
      </c>
      <c r="F60" s="2">
        <f t="shared" si="2"/>
        <v>7.1428571428571425E-2</v>
      </c>
    </row>
    <row r="61" spans="1:6" s="2" customFormat="1" x14ac:dyDescent="0.25">
      <c r="A61" s="2" t="s">
        <v>25</v>
      </c>
      <c r="B61" s="2" t="s">
        <v>26</v>
      </c>
      <c r="C61" s="2" t="s">
        <v>27</v>
      </c>
      <c r="E61" s="2">
        <v>5</v>
      </c>
      <c r="F61" s="2">
        <f t="shared" si="2"/>
        <v>0.23809523809523808</v>
      </c>
    </row>
    <row r="62" spans="1:6" s="2" customFormat="1" x14ac:dyDescent="0.25">
      <c r="A62" s="2" t="s">
        <v>25</v>
      </c>
      <c r="B62" s="2" t="s">
        <v>26</v>
      </c>
      <c r="C62" s="2" t="s">
        <v>8</v>
      </c>
      <c r="E62" s="2">
        <v>10</v>
      </c>
      <c r="F62" s="2">
        <f t="shared" si="2"/>
        <v>0.47619047619047616</v>
      </c>
    </row>
    <row r="63" spans="1:6" s="2" customFormat="1" x14ac:dyDescent="0.25">
      <c r="A63" s="2" t="s">
        <v>25</v>
      </c>
      <c r="B63" s="2" t="s">
        <v>26</v>
      </c>
      <c r="C63" s="2" t="s">
        <v>9</v>
      </c>
      <c r="E63" s="2">
        <v>17</v>
      </c>
      <c r="F63" s="2">
        <f t="shared" si="2"/>
        <v>0.80952380952380953</v>
      </c>
    </row>
    <row r="64" spans="1:6" s="2" customFormat="1" x14ac:dyDescent="0.25">
      <c r="A64" s="2" t="s">
        <v>25</v>
      </c>
      <c r="B64" s="2" t="s">
        <v>26</v>
      </c>
      <c r="C64" s="2" t="s">
        <v>10</v>
      </c>
      <c r="E64" s="2">
        <v>21</v>
      </c>
      <c r="F64" s="2">
        <f t="shared" si="2"/>
        <v>1</v>
      </c>
    </row>
    <row r="65" spans="1:6" x14ac:dyDescent="0.25">
      <c r="A65" t="s">
        <v>28</v>
      </c>
      <c r="B65" t="s">
        <v>29</v>
      </c>
      <c r="C65" t="s">
        <v>4</v>
      </c>
      <c r="E65">
        <f>E$58</f>
        <v>0</v>
      </c>
      <c r="F65" s="5">
        <f>F58</f>
        <v>0</v>
      </c>
    </row>
    <row r="66" spans="1:6" x14ac:dyDescent="0.25">
      <c r="A66" t="s">
        <v>28</v>
      </c>
      <c r="B66" t="s">
        <v>29</v>
      </c>
      <c r="C66" t="s">
        <v>5</v>
      </c>
      <c r="E66">
        <f>E$59</f>
        <v>0.5</v>
      </c>
      <c r="F66" s="5">
        <f t="shared" ref="F66:F129" si="3">F59</f>
        <v>2.3809523809523808E-2</v>
      </c>
    </row>
    <row r="67" spans="1:6" x14ac:dyDescent="0.25">
      <c r="A67" t="s">
        <v>28</v>
      </c>
      <c r="B67" t="s">
        <v>29</v>
      </c>
      <c r="C67" t="s">
        <v>6</v>
      </c>
      <c r="E67">
        <f>E$60</f>
        <v>1.5</v>
      </c>
      <c r="F67" s="5">
        <f t="shared" si="3"/>
        <v>7.1428571428571425E-2</v>
      </c>
    </row>
    <row r="68" spans="1:6" x14ac:dyDescent="0.25">
      <c r="A68" t="s">
        <v>28</v>
      </c>
      <c r="B68" t="s">
        <v>29</v>
      </c>
      <c r="C68" t="s">
        <v>27</v>
      </c>
      <c r="E68">
        <f>E$61</f>
        <v>5</v>
      </c>
      <c r="F68" s="5">
        <f t="shared" si="3"/>
        <v>0.23809523809523808</v>
      </c>
    </row>
    <row r="69" spans="1:6" x14ac:dyDescent="0.25">
      <c r="A69" t="s">
        <v>28</v>
      </c>
      <c r="B69" t="s">
        <v>29</v>
      </c>
      <c r="C69" t="s">
        <v>8</v>
      </c>
      <c r="E69">
        <f>E$62</f>
        <v>10</v>
      </c>
      <c r="F69" s="5">
        <f t="shared" si="3"/>
        <v>0.47619047619047616</v>
      </c>
    </row>
    <row r="70" spans="1:6" x14ac:dyDescent="0.25">
      <c r="A70" t="s">
        <v>28</v>
      </c>
      <c r="B70" t="s">
        <v>29</v>
      </c>
      <c r="C70" t="s">
        <v>9</v>
      </c>
      <c r="E70">
        <f>E$63</f>
        <v>17</v>
      </c>
      <c r="F70" s="5">
        <f t="shared" si="3"/>
        <v>0.80952380952380953</v>
      </c>
    </row>
    <row r="71" spans="1:6" x14ac:dyDescent="0.25">
      <c r="A71" t="s">
        <v>28</v>
      </c>
      <c r="B71" t="s">
        <v>29</v>
      </c>
      <c r="C71" t="s">
        <v>10</v>
      </c>
      <c r="E71">
        <f>E$64</f>
        <v>21</v>
      </c>
      <c r="F71" s="5">
        <f t="shared" si="3"/>
        <v>1</v>
      </c>
    </row>
    <row r="72" spans="1:6" x14ac:dyDescent="0.25">
      <c r="A72" t="s">
        <v>30</v>
      </c>
      <c r="B72" t="s">
        <v>31</v>
      </c>
      <c r="C72" t="s">
        <v>4</v>
      </c>
      <c r="E72">
        <f>E$58</f>
        <v>0</v>
      </c>
      <c r="F72" s="5">
        <f t="shared" si="3"/>
        <v>0</v>
      </c>
    </row>
    <row r="73" spans="1:6" x14ac:dyDescent="0.25">
      <c r="A73" t="s">
        <v>30</v>
      </c>
      <c r="B73" t="s">
        <v>31</v>
      </c>
      <c r="C73" t="s">
        <v>5</v>
      </c>
      <c r="E73">
        <f>E$59</f>
        <v>0.5</v>
      </c>
      <c r="F73" s="5">
        <f t="shared" si="3"/>
        <v>2.3809523809523808E-2</v>
      </c>
    </row>
    <row r="74" spans="1:6" x14ac:dyDescent="0.25">
      <c r="A74" t="s">
        <v>30</v>
      </c>
      <c r="B74" t="s">
        <v>31</v>
      </c>
      <c r="C74" t="s">
        <v>6</v>
      </c>
      <c r="E74">
        <f>E$60</f>
        <v>1.5</v>
      </c>
      <c r="F74" s="5">
        <f t="shared" si="3"/>
        <v>7.1428571428571425E-2</v>
      </c>
    </row>
    <row r="75" spans="1:6" x14ac:dyDescent="0.25">
      <c r="A75" t="s">
        <v>30</v>
      </c>
      <c r="B75" t="s">
        <v>31</v>
      </c>
      <c r="C75" t="s">
        <v>27</v>
      </c>
      <c r="E75">
        <f>E$61</f>
        <v>5</v>
      </c>
      <c r="F75" s="5">
        <f t="shared" si="3"/>
        <v>0.23809523809523808</v>
      </c>
    </row>
    <row r="76" spans="1:6" x14ac:dyDescent="0.25">
      <c r="A76" t="s">
        <v>30</v>
      </c>
      <c r="B76" t="s">
        <v>31</v>
      </c>
      <c r="C76" t="s">
        <v>8</v>
      </c>
      <c r="E76">
        <f>E$62</f>
        <v>10</v>
      </c>
      <c r="F76" s="5">
        <f t="shared" si="3"/>
        <v>0.47619047619047616</v>
      </c>
    </row>
    <row r="77" spans="1:6" x14ac:dyDescent="0.25">
      <c r="A77" t="s">
        <v>30</v>
      </c>
      <c r="B77" t="s">
        <v>31</v>
      </c>
      <c r="C77" t="s">
        <v>9</v>
      </c>
      <c r="E77">
        <f>E$63</f>
        <v>17</v>
      </c>
      <c r="F77" s="5">
        <f t="shared" si="3"/>
        <v>0.80952380952380953</v>
      </c>
    </row>
    <row r="78" spans="1:6" x14ac:dyDescent="0.25">
      <c r="A78" t="s">
        <v>30</v>
      </c>
      <c r="B78" t="s">
        <v>31</v>
      </c>
      <c r="C78" t="s">
        <v>10</v>
      </c>
      <c r="E78">
        <f>E$64</f>
        <v>21</v>
      </c>
      <c r="F78" s="5">
        <f t="shared" si="3"/>
        <v>1</v>
      </c>
    </row>
    <row r="79" spans="1:6" x14ac:dyDescent="0.25">
      <c r="A79" t="s">
        <v>32</v>
      </c>
      <c r="B79" t="s">
        <v>33</v>
      </c>
      <c r="C79" t="s">
        <v>4</v>
      </c>
      <c r="E79">
        <f>E$58</f>
        <v>0</v>
      </c>
      <c r="F79" s="5">
        <f t="shared" si="3"/>
        <v>0</v>
      </c>
    </row>
    <row r="80" spans="1:6" x14ac:dyDescent="0.25">
      <c r="A80" t="s">
        <v>32</v>
      </c>
      <c r="B80" t="s">
        <v>33</v>
      </c>
      <c r="C80" t="s">
        <v>5</v>
      </c>
      <c r="E80">
        <f>E$59</f>
        <v>0.5</v>
      </c>
      <c r="F80" s="5">
        <f t="shared" si="3"/>
        <v>2.3809523809523808E-2</v>
      </c>
    </row>
    <row r="81" spans="1:6" x14ac:dyDescent="0.25">
      <c r="A81" t="s">
        <v>32</v>
      </c>
      <c r="B81" t="s">
        <v>33</v>
      </c>
      <c r="C81" t="s">
        <v>6</v>
      </c>
      <c r="E81">
        <f>E$60</f>
        <v>1.5</v>
      </c>
      <c r="F81" s="5">
        <f t="shared" si="3"/>
        <v>7.1428571428571425E-2</v>
      </c>
    </row>
    <row r="82" spans="1:6" x14ac:dyDescent="0.25">
      <c r="A82" t="s">
        <v>32</v>
      </c>
      <c r="B82" t="s">
        <v>33</v>
      </c>
      <c r="C82" t="s">
        <v>27</v>
      </c>
      <c r="E82">
        <f>E$61</f>
        <v>5</v>
      </c>
      <c r="F82" s="5">
        <f t="shared" si="3"/>
        <v>0.23809523809523808</v>
      </c>
    </row>
    <row r="83" spans="1:6" x14ac:dyDescent="0.25">
      <c r="A83" t="s">
        <v>32</v>
      </c>
      <c r="B83" t="s">
        <v>33</v>
      </c>
      <c r="C83" t="s">
        <v>8</v>
      </c>
      <c r="E83">
        <f>E$62</f>
        <v>10</v>
      </c>
      <c r="F83" s="5">
        <f t="shared" si="3"/>
        <v>0.47619047619047616</v>
      </c>
    </row>
    <row r="84" spans="1:6" x14ac:dyDescent="0.25">
      <c r="A84" t="s">
        <v>32</v>
      </c>
      <c r="B84" t="s">
        <v>33</v>
      </c>
      <c r="C84" t="s">
        <v>9</v>
      </c>
      <c r="E84">
        <f>E$63</f>
        <v>17</v>
      </c>
      <c r="F84" s="5">
        <f t="shared" si="3"/>
        <v>0.80952380952380953</v>
      </c>
    </row>
    <row r="85" spans="1:6" x14ac:dyDescent="0.25">
      <c r="A85" t="s">
        <v>32</v>
      </c>
      <c r="B85" t="s">
        <v>33</v>
      </c>
      <c r="C85" t="s">
        <v>10</v>
      </c>
      <c r="E85">
        <f>E$64</f>
        <v>21</v>
      </c>
      <c r="F85" s="5">
        <f t="shared" si="3"/>
        <v>1</v>
      </c>
    </row>
    <row r="86" spans="1:6" x14ac:dyDescent="0.25">
      <c r="A86" t="s">
        <v>34</v>
      </c>
      <c r="B86" t="s">
        <v>35</v>
      </c>
      <c r="C86" t="s">
        <v>4</v>
      </c>
      <c r="E86">
        <f>E$58</f>
        <v>0</v>
      </c>
      <c r="F86" s="5">
        <f t="shared" si="3"/>
        <v>0</v>
      </c>
    </row>
    <row r="87" spans="1:6" x14ac:dyDescent="0.25">
      <c r="A87" t="s">
        <v>34</v>
      </c>
      <c r="B87" t="s">
        <v>35</v>
      </c>
      <c r="C87" t="s">
        <v>5</v>
      </c>
      <c r="E87">
        <f>E$59</f>
        <v>0.5</v>
      </c>
      <c r="F87" s="5">
        <f t="shared" si="3"/>
        <v>2.3809523809523808E-2</v>
      </c>
    </row>
    <row r="88" spans="1:6" x14ac:dyDescent="0.25">
      <c r="A88" t="s">
        <v>34</v>
      </c>
      <c r="B88" t="s">
        <v>35</v>
      </c>
      <c r="C88" t="s">
        <v>6</v>
      </c>
      <c r="E88">
        <f>E$60</f>
        <v>1.5</v>
      </c>
      <c r="F88" s="5">
        <f t="shared" si="3"/>
        <v>7.1428571428571425E-2</v>
      </c>
    </row>
    <row r="89" spans="1:6" x14ac:dyDescent="0.25">
      <c r="A89" t="s">
        <v>34</v>
      </c>
      <c r="B89" t="s">
        <v>35</v>
      </c>
      <c r="C89" t="s">
        <v>27</v>
      </c>
      <c r="E89">
        <f>E$61</f>
        <v>5</v>
      </c>
      <c r="F89" s="5">
        <f t="shared" si="3"/>
        <v>0.23809523809523808</v>
      </c>
    </row>
    <row r="90" spans="1:6" x14ac:dyDescent="0.25">
      <c r="A90" t="s">
        <v>34</v>
      </c>
      <c r="B90" t="s">
        <v>35</v>
      </c>
      <c r="C90" t="s">
        <v>8</v>
      </c>
      <c r="E90">
        <f>E$62</f>
        <v>10</v>
      </c>
      <c r="F90" s="5">
        <f t="shared" si="3"/>
        <v>0.47619047619047616</v>
      </c>
    </row>
    <row r="91" spans="1:6" x14ac:dyDescent="0.25">
      <c r="A91" t="s">
        <v>34</v>
      </c>
      <c r="B91" t="s">
        <v>35</v>
      </c>
      <c r="C91" t="s">
        <v>9</v>
      </c>
      <c r="E91">
        <f>E$63</f>
        <v>17</v>
      </c>
      <c r="F91" s="5">
        <f t="shared" si="3"/>
        <v>0.80952380952380953</v>
      </c>
    </row>
    <row r="92" spans="1:6" x14ac:dyDescent="0.25">
      <c r="A92" t="s">
        <v>34</v>
      </c>
      <c r="B92" t="s">
        <v>35</v>
      </c>
      <c r="C92" t="s">
        <v>10</v>
      </c>
      <c r="E92">
        <f>E$64</f>
        <v>21</v>
      </c>
      <c r="F92" s="5">
        <f t="shared" si="3"/>
        <v>1</v>
      </c>
    </row>
    <row r="93" spans="1:6" s="2" customFormat="1" x14ac:dyDescent="0.25">
      <c r="A93" s="2" t="s">
        <v>36</v>
      </c>
      <c r="B93" s="2" t="s">
        <v>37</v>
      </c>
      <c r="C93" s="2" t="s">
        <v>4</v>
      </c>
      <c r="E93" s="2">
        <v>0</v>
      </c>
      <c r="F93" s="2">
        <f>E93/MAX(E$93:E$99)</f>
        <v>0</v>
      </c>
    </row>
    <row r="94" spans="1:6" s="2" customFormat="1" x14ac:dyDescent="0.25">
      <c r="A94" s="2" t="s">
        <v>36</v>
      </c>
      <c r="B94" s="2" t="s">
        <v>37</v>
      </c>
      <c r="C94" s="2" t="s">
        <v>5</v>
      </c>
      <c r="E94" s="2">
        <v>0.5</v>
      </c>
      <c r="F94" s="2">
        <f t="shared" ref="F94:F99" si="4">E94/MAX(E$93:E$99)</f>
        <v>2.3809523809523808E-2</v>
      </c>
    </row>
    <row r="95" spans="1:6" s="2" customFormat="1" x14ac:dyDescent="0.25">
      <c r="A95" s="2" t="s">
        <v>36</v>
      </c>
      <c r="B95" s="2" t="s">
        <v>37</v>
      </c>
      <c r="C95" s="2" t="s">
        <v>6</v>
      </c>
      <c r="E95" s="2">
        <v>1.5</v>
      </c>
      <c r="F95" s="2">
        <f t="shared" si="4"/>
        <v>7.1428571428571425E-2</v>
      </c>
    </row>
    <row r="96" spans="1:6" s="2" customFormat="1" x14ac:dyDescent="0.25">
      <c r="A96" s="2" t="s">
        <v>36</v>
      </c>
      <c r="B96" s="2" t="s">
        <v>37</v>
      </c>
      <c r="C96" s="2" t="s">
        <v>27</v>
      </c>
      <c r="E96" s="2">
        <v>5</v>
      </c>
      <c r="F96" s="2">
        <f t="shared" si="4"/>
        <v>0.23809523809523808</v>
      </c>
    </row>
    <row r="97" spans="1:6" s="2" customFormat="1" x14ac:dyDescent="0.25">
      <c r="A97" s="2" t="s">
        <v>36</v>
      </c>
      <c r="B97" s="2" t="s">
        <v>37</v>
      </c>
      <c r="C97" s="2" t="s">
        <v>8</v>
      </c>
      <c r="E97" s="2">
        <v>10</v>
      </c>
      <c r="F97" s="2">
        <f t="shared" si="4"/>
        <v>0.47619047619047616</v>
      </c>
    </row>
    <row r="98" spans="1:6" s="2" customFormat="1" x14ac:dyDescent="0.25">
      <c r="A98" s="2" t="s">
        <v>36</v>
      </c>
      <c r="B98" s="2" t="s">
        <v>37</v>
      </c>
      <c r="C98" s="2" t="s">
        <v>9</v>
      </c>
      <c r="E98" s="2">
        <v>17</v>
      </c>
      <c r="F98" s="2">
        <f t="shared" si="4"/>
        <v>0.80952380952380953</v>
      </c>
    </row>
    <row r="99" spans="1:6" s="2" customFormat="1" x14ac:dyDescent="0.25">
      <c r="A99" s="2" t="s">
        <v>36</v>
      </c>
      <c r="B99" s="2" t="s">
        <v>37</v>
      </c>
      <c r="C99" s="2" t="s">
        <v>10</v>
      </c>
      <c r="E99" s="2">
        <v>21</v>
      </c>
      <c r="F99" s="2">
        <f t="shared" si="4"/>
        <v>1</v>
      </c>
    </row>
    <row r="100" spans="1:6" x14ac:dyDescent="0.25">
      <c r="A100" t="s">
        <v>38</v>
      </c>
      <c r="B100" t="s">
        <v>39</v>
      </c>
      <c r="C100" t="s">
        <v>4</v>
      </c>
      <c r="E100">
        <f>E93</f>
        <v>0</v>
      </c>
      <c r="F100" s="5">
        <f>F93</f>
        <v>0</v>
      </c>
    </row>
    <row r="101" spans="1:6" x14ac:dyDescent="0.25">
      <c r="A101" t="s">
        <v>38</v>
      </c>
      <c r="B101" t="s">
        <v>39</v>
      </c>
      <c r="C101" t="s">
        <v>5</v>
      </c>
      <c r="E101">
        <f t="shared" ref="E101:E106" si="5">E94</f>
        <v>0.5</v>
      </c>
      <c r="F101" s="5">
        <f t="shared" si="3"/>
        <v>2.3809523809523808E-2</v>
      </c>
    </row>
    <row r="102" spans="1:6" x14ac:dyDescent="0.25">
      <c r="A102" t="s">
        <v>38</v>
      </c>
      <c r="B102" t="s">
        <v>39</v>
      </c>
      <c r="C102" t="s">
        <v>6</v>
      </c>
      <c r="E102">
        <f t="shared" si="5"/>
        <v>1.5</v>
      </c>
      <c r="F102" s="5">
        <f t="shared" si="3"/>
        <v>7.1428571428571425E-2</v>
      </c>
    </row>
    <row r="103" spans="1:6" x14ac:dyDescent="0.25">
      <c r="A103" t="s">
        <v>38</v>
      </c>
      <c r="B103" t="s">
        <v>39</v>
      </c>
      <c r="C103" t="s">
        <v>27</v>
      </c>
      <c r="E103">
        <f t="shared" si="5"/>
        <v>5</v>
      </c>
      <c r="F103" s="5">
        <f t="shared" si="3"/>
        <v>0.23809523809523808</v>
      </c>
    </row>
    <row r="104" spans="1:6" x14ac:dyDescent="0.25">
      <c r="A104" t="s">
        <v>38</v>
      </c>
      <c r="B104" t="s">
        <v>39</v>
      </c>
      <c r="C104" t="s">
        <v>8</v>
      </c>
      <c r="E104">
        <f t="shared" si="5"/>
        <v>10</v>
      </c>
      <c r="F104" s="5">
        <f t="shared" si="3"/>
        <v>0.47619047619047616</v>
      </c>
    </row>
    <row r="105" spans="1:6" x14ac:dyDescent="0.25">
      <c r="A105" t="s">
        <v>38</v>
      </c>
      <c r="B105" t="s">
        <v>39</v>
      </c>
      <c r="C105" t="s">
        <v>9</v>
      </c>
      <c r="E105">
        <f t="shared" si="5"/>
        <v>17</v>
      </c>
      <c r="F105" s="5">
        <f t="shared" si="3"/>
        <v>0.80952380952380953</v>
      </c>
    </row>
    <row r="106" spans="1:6" x14ac:dyDescent="0.25">
      <c r="A106" t="s">
        <v>38</v>
      </c>
      <c r="B106" t="s">
        <v>39</v>
      </c>
      <c r="C106" t="s">
        <v>10</v>
      </c>
      <c r="E106">
        <f t="shared" si="5"/>
        <v>21</v>
      </c>
      <c r="F106" s="5">
        <f t="shared" si="3"/>
        <v>1</v>
      </c>
    </row>
    <row r="107" spans="1:6" s="2" customFormat="1" x14ac:dyDescent="0.25">
      <c r="A107" s="2" t="s">
        <v>40</v>
      </c>
      <c r="B107" s="2" t="s">
        <v>41</v>
      </c>
      <c r="C107" s="2" t="s">
        <v>4</v>
      </c>
      <c r="E107" s="2">
        <v>0</v>
      </c>
      <c r="F107" s="2">
        <f>E107/MAX(E$107:E$113)</f>
        <v>0</v>
      </c>
    </row>
    <row r="108" spans="1:6" s="2" customFormat="1" x14ac:dyDescent="0.25">
      <c r="A108" s="2" t="s">
        <v>40</v>
      </c>
      <c r="B108" s="2" t="s">
        <v>41</v>
      </c>
      <c r="C108" s="2" t="s">
        <v>5</v>
      </c>
      <c r="E108" s="2">
        <v>0.5</v>
      </c>
      <c r="F108" s="2">
        <f t="shared" ref="F108:F113" si="6">E108/MAX(E$107:E$113)</f>
        <v>2.3809523809523808E-2</v>
      </c>
    </row>
    <row r="109" spans="1:6" s="2" customFormat="1" x14ac:dyDescent="0.25">
      <c r="A109" s="2" t="s">
        <v>40</v>
      </c>
      <c r="B109" s="2" t="s">
        <v>41</v>
      </c>
      <c r="C109" s="2" t="s">
        <v>42</v>
      </c>
      <c r="E109" s="2">
        <v>1.5</v>
      </c>
      <c r="F109" s="2">
        <f t="shared" si="6"/>
        <v>7.1428571428571425E-2</v>
      </c>
    </row>
    <row r="110" spans="1:6" s="2" customFormat="1" x14ac:dyDescent="0.25">
      <c r="A110" s="2" t="s">
        <v>40</v>
      </c>
      <c r="B110" s="2" t="s">
        <v>41</v>
      </c>
      <c r="C110" s="2" t="s">
        <v>27</v>
      </c>
      <c r="E110" s="2">
        <v>5</v>
      </c>
      <c r="F110" s="2">
        <f t="shared" si="6"/>
        <v>0.23809523809523808</v>
      </c>
    </row>
    <row r="111" spans="1:6" s="2" customFormat="1" x14ac:dyDescent="0.25">
      <c r="A111" s="2" t="s">
        <v>40</v>
      </c>
      <c r="B111" s="2" t="s">
        <v>41</v>
      </c>
      <c r="C111" s="2" t="s">
        <v>8</v>
      </c>
      <c r="E111" s="2">
        <v>10</v>
      </c>
      <c r="F111" s="2">
        <f t="shared" si="6"/>
        <v>0.47619047619047616</v>
      </c>
    </row>
    <row r="112" spans="1:6" s="2" customFormat="1" x14ac:dyDescent="0.25">
      <c r="A112" s="2" t="s">
        <v>40</v>
      </c>
      <c r="B112" s="2" t="s">
        <v>41</v>
      </c>
      <c r="C112" s="2" t="s">
        <v>9</v>
      </c>
      <c r="E112" s="2">
        <v>17</v>
      </c>
      <c r="F112" s="2">
        <f t="shared" si="6"/>
        <v>0.80952380952380953</v>
      </c>
    </row>
    <row r="113" spans="1:6" s="2" customFormat="1" x14ac:dyDescent="0.25">
      <c r="A113" s="2" t="s">
        <v>40</v>
      </c>
      <c r="B113" s="2" t="s">
        <v>41</v>
      </c>
      <c r="C113" s="2" t="s">
        <v>10</v>
      </c>
      <c r="E113" s="2">
        <v>21</v>
      </c>
      <c r="F113" s="2">
        <f t="shared" si="6"/>
        <v>1</v>
      </c>
    </row>
    <row r="114" spans="1:6" x14ac:dyDescent="0.25">
      <c r="A114" t="s">
        <v>43</v>
      </c>
      <c r="B114" t="s">
        <v>44</v>
      </c>
      <c r="C114" t="s">
        <v>4</v>
      </c>
      <c r="E114">
        <f>E$107</f>
        <v>0</v>
      </c>
      <c r="F114" s="5">
        <f>F107</f>
        <v>0</v>
      </c>
    </row>
    <row r="115" spans="1:6" x14ac:dyDescent="0.25">
      <c r="A115" t="s">
        <v>43</v>
      </c>
      <c r="B115" t="s">
        <v>44</v>
      </c>
      <c r="C115" t="s">
        <v>5</v>
      </c>
      <c r="E115">
        <f>E$108</f>
        <v>0.5</v>
      </c>
      <c r="F115" s="5">
        <f t="shared" si="3"/>
        <v>2.3809523809523808E-2</v>
      </c>
    </row>
    <row r="116" spans="1:6" x14ac:dyDescent="0.25">
      <c r="A116" t="s">
        <v>43</v>
      </c>
      <c r="B116" t="s">
        <v>44</v>
      </c>
      <c r="C116" t="s">
        <v>42</v>
      </c>
      <c r="E116">
        <f>E$109</f>
        <v>1.5</v>
      </c>
      <c r="F116" s="5">
        <f t="shared" si="3"/>
        <v>7.1428571428571425E-2</v>
      </c>
    </row>
    <row r="117" spans="1:6" x14ac:dyDescent="0.25">
      <c r="A117" t="s">
        <v>43</v>
      </c>
      <c r="B117" t="s">
        <v>44</v>
      </c>
      <c r="C117" t="s">
        <v>27</v>
      </c>
      <c r="E117">
        <f>E$110</f>
        <v>5</v>
      </c>
      <c r="F117" s="5">
        <f t="shared" si="3"/>
        <v>0.23809523809523808</v>
      </c>
    </row>
    <row r="118" spans="1:6" x14ac:dyDescent="0.25">
      <c r="A118" t="s">
        <v>43</v>
      </c>
      <c r="B118" t="s">
        <v>44</v>
      </c>
      <c r="C118" t="s">
        <v>8</v>
      </c>
      <c r="E118">
        <f>E$111</f>
        <v>10</v>
      </c>
      <c r="F118" s="5">
        <f t="shared" si="3"/>
        <v>0.47619047619047616</v>
      </c>
    </row>
    <row r="119" spans="1:6" x14ac:dyDescent="0.25">
      <c r="A119" t="s">
        <v>43</v>
      </c>
      <c r="B119" t="s">
        <v>44</v>
      </c>
      <c r="C119" t="s">
        <v>9</v>
      </c>
      <c r="E119">
        <f>E$112</f>
        <v>17</v>
      </c>
      <c r="F119" s="5">
        <f t="shared" si="3"/>
        <v>0.80952380952380953</v>
      </c>
    </row>
    <row r="120" spans="1:6" x14ac:dyDescent="0.25">
      <c r="A120" t="s">
        <v>43</v>
      </c>
      <c r="B120" t="s">
        <v>44</v>
      </c>
      <c r="C120" t="s">
        <v>10</v>
      </c>
      <c r="E120">
        <f>E$113</f>
        <v>21</v>
      </c>
      <c r="F120" s="5">
        <f t="shared" si="3"/>
        <v>1</v>
      </c>
    </row>
    <row r="121" spans="1:6" x14ac:dyDescent="0.25">
      <c r="A121" t="s">
        <v>45</v>
      </c>
      <c r="B121" t="s">
        <v>46</v>
      </c>
      <c r="C121" t="s">
        <v>4</v>
      </c>
      <c r="E121">
        <f>E$107</f>
        <v>0</v>
      </c>
      <c r="F121" s="5">
        <f t="shared" si="3"/>
        <v>0</v>
      </c>
    </row>
    <row r="122" spans="1:6" x14ac:dyDescent="0.25">
      <c r="A122" t="s">
        <v>45</v>
      </c>
      <c r="B122" t="s">
        <v>46</v>
      </c>
      <c r="C122" t="s">
        <v>5</v>
      </c>
      <c r="E122">
        <f>E$108</f>
        <v>0.5</v>
      </c>
      <c r="F122" s="5">
        <f t="shared" si="3"/>
        <v>2.3809523809523808E-2</v>
      </c>
    </row>
    <row r="123" spans="1:6" x14ac:dyDescent="0.25">
      <c r="A123" t="s">
        <v>45</v>
      </c>
      <c r="B123" t="s">
        <v>46</v>
      </c>
      <c r="C123" t="s">
        <v>42</v>
      </c>
      <c r="E123">
        <f>E$109</f>
        <v>1.5</v>
      </c>
      <c r="F123" s="5">
        <f t="shared" si="3"/>
        <v>7.1428571428571425E-2</v>
      </c>
    </row>
    <row r="124" spans="1:6" x14ac:dyDescent="0.25">
      <c r="A124" t="s">
        <v>45</v>
      </c>
      <c r="B124" t="s">
        <v>46</v>
      </c>
      <c r="C124" t="s">
        <v>27</v>
      </c>
      <c r="E124">
        <f>E$110</f>
        <v>5</v>
      </c>
      <c r="F124" s="5">
        <f t="shared" si="3"/>
        <v>0.23809523809523808</v>
      </c>
    </row>
    <row r="125" spans="1:6" x14ac:dyDescent="0.25">
      <c r="A125" t="s">
        <v>45</v>
      </c>
      <c r="B125" t="s">
        <v>46</v>
      </c>
      <c r="C125" t="s">
        <v>8</v>
      </c>
      <c r="E125">
        <f>E$111</f>
        <v>10</v>
      </c>
      <c r="F125" s="5">
        <f t="shared" si="3"/>
        <v>0.47619047619047616</v>
      </c>
    </row>
    <row r="126" spans="1:6" x14ac:dyDescent="0.25">
      <c r="A126" t="s">
        <v>45</v>
      </c>
      <c r="B126" t="s">
        <v>46</v>
      </c>
      <c r="C126" t="s">
        <v>9</v>
      </c>
      <c r="E126">
        <f>E$112</f>
        <v>17</v>
      </c>
      <c r="F126" s="5">
        <f t="shared" si="3"/>
        <v>0.80952380952380953</v>
      </c>
    </row>
    <row r="127" spans="1:6" x14ac:dyDescent="0.25">
      <c r="A127" t="s">
        <v>45</v>
      </c>
      <c r="B127" t="s">
        <v>46</v>
      </c>
      <c r="C127" t="s">
        <v>10</v>
      </c>
      <c r="E127">
        <f>E$113</f>
        <v>21</v>
      </c>
      <c r="F127" s="5">
        <f t="shared" si="3"/>
        <v>1</v>
      </c>
    </row>
    <row r="128" spans="1:6" x14ac:dyDescent="0.25">
      <c r="A128" t="s">
        <v>47</v>
      </c>
      <c r="B128" t="s">
        <v>48</v>
      </c>
      <c r="C128" t="s">
        <v>4</v>
      </c>
      <c r="E128">
        <f>E$107</f>
        <v>0</v>
      </c>
      <c r="F128" s="5">
        <f t="shared" si="3"/>
        <v>0</v>
      </c>
    </row>
    <row r="129" spans="1:6" x14ac:dyDescent="0.25">
      <c r="A129" t="s">
        <v>47</v>
      </c>
      <c r="B129" t="s">
        <v>48</v>
      </c>
      <c r="C129" t="s">
        <v>5</v>
      </c>
      <c r="E129">
        <f>E$108</f>
        <v>0.5</v>
      </c>
      <c r="F129" s="5">
        <f t="shared" si="3"/>
        <v>2.3809523809523808E-2</v>
      </c>
    </row>
    <row r="130" spans="1:6" x14ac:dyDescent="0.25">
      <c r="A130" t="s">
        <v>47</v>
      </c>
      <c r="B130" t="s">
        <v>48</v>
      </c>
      <c r="C130" t="s">
        <v>42</v>
      </c>
      <c r="E130">
        <f>E$109</f>
        <v>1.5</v>
      </c>
      <c r="F130" s="5">
        <f t="shared" ref="F130:F155" si="7">F123</f>
        <v>7.1428571428571425E-2</v>
      </c>
    </row>
    <row r="131" spans="1:6" x14ac:dyDescent="0.25">
      <c r="A131" t="s">
        <v>47</v>
      </c>
      <c r="B131" t="s">
        <v>48</v>
      </c>
      <c r="C131" t="s">
        <v>27</v>
      </c>
      <c r="E131">
        <f>E$110</f>
        <v>5</v>
      </c>
      <c r="F131" s="5">
        <f t="shared" si="7"/>
        <v>0.23809523809523808</v>
      </c>
    </row>
    <row r="132" spans="1:6" x14ac:dyDescent="0.25">
      <c r="A132" t="s">
        <v>47</v>
      </c>
      <c r="B132" t="s">
        <v>48</v>
      </c>
      <c r="C132" t="s">
        <v>8</v>
      </c>
      <c r="E132">
        <f>E$111</f>
        <v>10</v>
      </c>
      <c r="F132" s="5">
        <f t="shared" si="7"/>
        <v>0.47619047619047616</v>
      </c>
    </row>
    <row r="133" spans="1:6" x14ac:dyDescent="0.25">
      <c r="A133" t="s">
        <v>47</v>
      </c>
      <c r="B133" t="s">
        <v>48</v>
      </c>
      <c r="C133" t="s">
        <v>9</v>
      </c>
      <c r="E133">
        <f>E$112</f>
        <v>17</v>
      </c>
      <c r="F133" s="5">
        <f t="shared" si="7"/>
        <v>0.80952380952380953</v>
      </c>
    </row>
    <row r="134" spans="1:6" x14ac:dyDescent="0.25">
      <c r="A134" t="s">
        <v>47</v>
      </c>
      <c r="B134" t="s">
        <v>48</v>
      </c>
      <c r="C134" t="s">
        <v>10</v>
      </c>
      <c r="E134">
        <f>E$113</f>
        <v>21</v>
      </c>
      <c r="F134" s="5">
        <f t="shared" si="7"/>
        <v>1</v>
      </c>
    </row>
    <row r="135" spans="1:6" x14ac:dyDescent="0.25">
      <c r="A135" t="s">
        <v>49</v>
      </c>
      <c r="B135" t="s">
        <v>50</v>
      </c>
      <c r="C135" t="s">
        <v>4</v>
      </c>
      <c r="E135">
        <f>E$107</f>
        <v>0</v>
      </c>
      <c r="F135" s="5">
        <f t="shared" si="7"/>
        <v>0</v>
      </c>
    </row>
    <row r="136" spans="1:6" x14ac:dyDescent="0.25">
      <c r="A136" t="s">
        <v>49</v>
      </c>
      <c r="B136" t="s">
        <v>50</v>
      </c>
      <c r="C136" t="s">
        <v>5</v>
      </c>
      <c r="E136">
        <f>E$108</f>
        <v>0.5</v>
      </c>
      <c r="F136" s="5">
        <f t="shared" si="7"/>
        <v>2.3809523809523808E-2</v>
      </c>
    </row>
    <row r="137" spans="1:6" x14ac:dyDescent="0.25">
      <c r="A137" t="s">
        <v>49</v>
      </c>
      <c r="B137" t="s">
        <v>50</v>
      </c>
      <c r="C137" t="s">
        <v>42</v>
      </c>
      <c r="E137">
        <f>E$109</f>
        <v>1.5</v>
      </c>
      <c r="F137" s="5">
        <f t="shared" si="7"/>
        <v>7.1428571428571425E-2</v>
      </c>
    </row>
    <row r="138" spans="1:6" x14ac:dyDescent="0.25">
      <c r="A138" t="s">
        <v>49</v>
      </c>
      <c r="B138" t="s">
        <v>50</v>
      </c>
      <c r="C138" t="s">
        <v>27</v>
      </c>
      <c r="E138">
        <f>E$110</f>
        <v>5</v>
      </c>
      <c r="F138" s="5">
        <f t="shared" si="7"/>
        <v>0.23809523809523808</v>
      </c>
    </row>
    <row r="139" spans="1:6" x14ac:dyDescent="0.25">
      <c r="A139" t="s">
        <v>49</v>
      </c>
      <c r="B139" t="s">
        <v>50</v>
      </c>
      <c r="C139" t="s">
        <v>8</v>
      </c>
      <c r="E139">
        <f>E$111</f>
        <v>10</v>
      </c>
      <c r="F139" s="5">
        <f t="shared" si="7"/>
        <v>0.47619047619047616</v>
      </c>
    </row>
    <row r="140" spans="1:6" x14ac:dyDescent="0.25">
      <c r="A140" t="s">
        <v>49</v>
      </c>
      <c r="B140" t="s">
        <v>50</v>
      </c>
      <c r="C140" t="s">
        <v>9</v>
      </c>
      <c r="E140">
        <f>E$112</f>
        <v>17</v>
      </c>
      <c r="F140" s="5">
        <f t="shared" si="7"/>
        <v>0.80952380952380953</v>
      </c>
    </row>
    <row r="141" spans="1:6" x14ac:dyDescent="0.25">
      <c r="A141" t="s">
        <v>49</v>
      </c>
      <c r="B141" t="s">
        <v>50</v>
      </c>
      <c r="C141" t="s">
        <v>10</v>
      </c>
      <c r="E141">
        <f>E$113</f>
        <v>21</v>
      </c>
      <c r="F141" s="5">
        <f t="shared" si="7"/>
        <v>1</v>
      </c>
    </row>
    <row r="142" spans="1:6" x14ac:dyDescent="0.25">
      <c r="A142" t="s">
        <v>51</v>
      </c>
      <c r="B142" t="s">
        <v>52</v>
      </c>
      <c r="C142" t="s">
        <v>4</v>
      </c>
      <c r="E142">
        <f>E$107</f>
        <v>0</v>
      </c>
      <c r="F142" s="5">
        <f t="shared" si="7"/>
        <v>0</v>
      </c>
    </row>
    <row r="143" spans="1:6" x14ac:dyDescent="0.25">
      <c r="A143" t="s">
        <v>51</v>
      </c>
      <c r="B143" t="s">
        <v>52</v>
      </c>
      <c r="C143" t="s">
        <v>5</v>
      </c>
      <c r="E143">
        <f>E$108</f>
        <v>0.5</v>
      </c>
      <c r="F143" s="5">
        <f t="shared" si="7"/>
        <v>2.3809523809523808E-2</v>
      </c>
    </row>
    <row r="144" spans="1:6" x14ac:dyDescent="0.25">
      <c r="A144" t="s">
        <v>51</v>
      </c>
      <c r="B144" t="s">
        <v>52</v>
      </c>
      <c r="C144" t="s">
        <v>42</v>
      </c>
      <c r="E144">
        <f>E$109</f>
        <v>1.5</v>
      </c>
      <c r="F144" s="5">
        <f t="shared" si="7"/>
        <v>7.1428571428571425E-2</v>
      </c>
    </row>
    <row r="145" spans="1:6" x14ac:dyDescent="0.25">
      <c r="A145" t="s">
        <v>51</v>
      </c>
      <c r="B145" t="s">
        <v>52</v>
      </c>
      <c r="C145" t="s">
        <v>27</v>
      </c>
      <c r="E145">
        <f>E$110</f>
        <v>5</v>
      </c>
      <c r="F145" s="5">
        <f t="shared" si="7"/>
        <v>0.23809523809523808</v>
      </c>
    </row>
    <row r="146" spans="1:6" x14ac:dyDescent="0.25">
      <c r="A146" t="s">
        <v>51</v>
      </c>
      <c r="B146" t="s">
        <v>52</v>
      </c>
      <c r="C146" t="s">
        <v>8</v>
      </c>
      <c r="E146">
        <f>E$111</f>
        <v>10</v>
      </c>
      <c r="F146" s="5">
        <f t="shared" si="7"/>
        <v>0.47619047619047616</v>
      </c>
    </row>
    <row r="147" spans="1:6" x14ac:dyDescent="0.25">
      <c r="A147" t="s">
        <v>51</v>
      </c>
      <c r="B147" t="s">
        <v>52</v>
      </c>
      <c r="C147" t="s">
        <v>9</v>
      </c>
      <c r="E147">
        <f>E$112</f>
        <v>17</v>
      </c>
      <c r="F147" s="5">
        <f t="shared" si="7"/>
        <v>0.80952380952380953</v>
      </c>
    </row>
    <row r="148" spans="1:6" x14ac:dyDescent="0.25">
      <c r="A148" t="s">
        <v>51</v>
      </c>
      <c r="B148" t="s">
        <v>52</v>
      </c>
      <c r="C148" t="s">
        <v>10</v>
      </c>
      <c r="E148">
        <f>E$113</f>
        <v>21</v>
      </c>
      <c r="F148" s="5">
        <f t="shared" si="7"/>
        <v>1</v>
      </c>
    </row>
    <row r="149" spans="1:6" x14ac:dyDescent="0.25">
      <c r="A149" t="s">
        <v>53</v>
      </c>
      <c r="B149" t="s">
        <v>54</v>
      </c>
      <c r="C149" t="s">
        <v>4</v>
      </c>
      <c r="E149">
        <f>E$107</f>
        <v>0</v>
      </c>
      <c r="F149" s="5">
        <f t="shared" si="7"/>
        <v>0</v>
      </c>
    </row>
    <row r="150" spans="1:6" x14ac:dyDescent="0.25">
      <c r="A150" t="s">
        <v>53</v>
      </c>
      <c r="B150" t="s">
        <v>54</v>
      </c>
      <c r="C150" t="s">
        <v>5</v>
      </c>
      <c r="E150">
        <f>E$108</f>
        <v>0.5</v>
      </c>
      <c r="F150" s="5">
        <f t="shared" si="7"/>
        <v>2.3809523809523808E-2</v>
      </c>
    </row>
    <row r="151" spans="1:6" x14ac:dyDescent="0.25">
      <c r="A151" t="s">
        <v>53</v>
      </c>
      <c r="B151" t="s">
        <v>54</v>
      </c>
      <c r="C151" t="s">
        <v>42</v>
      </c>
      <c r="E151">
        <f>E$109</f>
        <v>1.5</v>
      </c>
      <c r="F151" s="5">
        <f t="shared" si="7"/>
        <v>7.1428571428571425E-2</v>
      </c>
    </row>
    <row r="152" spans="1:6" x14ac:dyDescent="0.25">
      <c r="A152" t="s">
        <v>53</v>
      </c>
      <c r="B152" t="s">
        <v>54</v>
      </c>
      <c r="C152" t="s">
        <v>27</v>
      </c>
      <c r="E152">
        <f>E$110</f>
        <v>5</v>
      </c>
      <c r="F152" s="5">
        <f t="shared" si="7"/>
        <v>0.23809523809523808</v>
      </c>
    </row>
    <row r="153" spans="1:6" x14ac:dyDescent="0.25">
      <c r="A153" t="s">
        <v>53</v>
      </c>
      <c r="B153" t="s">
        <v>54</v>
      </c>
      <c r="C153" t="s">
        <v>8</v>
      </c>
      <c r="E153">
        <f>E$111</f>
        <v>10</v>
      </c>
      <c r="F153" s="5">
        <f t="shared" si="7"/>
        <v>0.47619047619047616</v>
      </c>
    </row>
    <row r="154" spans="1:6" x14ac:dyDescent="0.25">
      <c r="A154" t="s">
        <v>53</v>
      </c>
      <c r="B154" t="s">
        <v>54</v>
      </c>
      <c r="C154" t="s">
        <v>9</v>
      </c>
      <c r="E154">
        <f>E$112</f>
        <v>17</v>
      </c>
      <c r="F154" s="5">
        <f t="shared" si="7"/>
        <v>0.80952380952380953</v>
      </c>
    </row>
    <row r="155" spans="1:6" x14ac:dyDescent="0.25">
      <c r="A155" t="s">
        <v>53</v>
      </c>
      <c r="B155" t="s">
        <v>54</v>
      </c>
      <c r="C155" t="s">
        <v>10</v>
      </c>
      <c r="E155">
        <f>E$113</f>
        <v>21</v>
      </c>
      <c r="F155" s="5">
        <f t="shared" si="7"/>
        <v>1</v>
      </c>
    </row>
    <row r="156" spans="1:6" s="2" customFormat="1" x14ac:dyDescent="0.25">
      <c r="A156" s="2" t="s">
        <v>55</v>
      </c>
      <c r="B156" s="2" t="s">
        <v>56</v>
      </c>
      <c r="C156" s="2" t="s">
        <v>4</v>
      </c>
      <c r="E156" s="2">
        <v>0</v>
      </c>
      <c r="F156" s="2">
        <f>E156/MAX(E$156:E$160)</f>
        <v>0</v>
      </c>
    </row>
    <row r="157" spans="1:6" s="2" customFormat="1" x14ac:dyDescent="0.25">
      <c r="A157" s="2" t="s">
        <v>55</v>
      </c>
      <c r="B157" s="2" t="s">
        <v>56</v>
      </c>
      <c r="C157" s="2" t="s">
        <v>57</v>
      </c>
      <c r="E157" s="2">
        <f>1.5/30</f>
        <v>0.05</v>
      </c>
      <c r="F157" s="2">
        <f t="shared" ref="F157:F160" si="8">E157/MAX(E$156:E$160)</f>
        <v>0.05</v>
      </c>
    </row>
    <row r="158" spans="1:6" s="2" customFormat="1" x14ac:dyDescent="0.25">
      <c r="A158" s="2" t="s">
        <v>55</v>
      </c>
      <c r="B158" s="2" t="s">
        <v>56</v>
      </c>
      <c r="C158" s="2" t="s">
        <v>58</v>
      </c>
      <c r="E158" s="2">
        <f>1.5/7</f>
        <v>0.21428571428571427</v>
      </c>
      <c r="F158" s="2">
        <f t="shared" si="8"/>
        <v>0.21428571428571427</v>
      </c>
    </row>
    <row r="159" spans="1:6" s="2" customFormat="1" x14ac:dyDescent="0.25">
      <c r="A159" s="2" t="s">
        <v>55</v>
      </c>
      <c r="B159" s="2" t="s">
        <v>56</v>
      </c>
      <c r="C159" s="2" t="s">
        <v>59</v>
      </c>
      <c r="E159" s="4">
        <f>5/7</f>
        <v>0.7142857142857143</v>
      </c>
      <c r="F159" s="2">
        <f t="shared" si="8"/>
        <v>0.7142857142857143</v>
      </c>
    </row>
    <row r="160" spans="1:6" s="2" customFormat="1" x14ac:dyDescent="0.25">
      <c r="A160" s="2" t="s">
        <v>55</v>
      </c>
      <c r="B160" s="2" t="s">
        <v>56</v>
      </c>
      <c r="C160" s="2" t="s">
        <v>60</v>
      </c>
      <c r="E160" s="2">
        <v>1</v>
      </c>
      <c r="F160" s="2">
        <f t="shared" si="8"/>
        <v>1</v>
      </c>
    </row>
    <row r="161" spans="1:6" x14ac:dyDescent="0.25">
      <c r="A161" t="s">
        <v>61</v>
      </c>
      <c r="B161" t="s">
        <v>62</v>
      </c>
      <c r="C161" t="s">
        <v>4</v>
      </c>
      <c r="E161">
        <f>E$156</f>
        <v>0</v>
      </c>
      <c r="F161" s="5">
        <f>F156</f>
        <v>0</v>
      </c>
    </row>
    <row r="162" spans="1:6" x14ac:dyDescent="0.25">
      <c r="A162" t="s">
        <v>61</v>
      </c>
      <c r="B162" t="s">
        <v>62</v>
      </c>
      <c r="C162" t="s">
        <v>57</v>
      </c>
      <c r="E162">
        <f>E$157</f>
        <v>0.05</v>
      </c>
      <c r="F162" s="5">
        <f t="shared" ref="F162:F190" si="9">F157</f>
        <v>0.05</v>
      </c>
    </row>
    <row r="163" spans="1:6" x14ac:dyDescent="0.25">
      <c r="A163" t="s">
        <v>61</v>
      </c>
      <c r="B163" t="s">
        <v>62</v>
      </c>
      <c r="C163" t="s">
        <v>58</v>
      </c>
      <c r="E163">
        <f>E$158</f>
        <v>0.21428571428571427</v>
      </c>
      <c r="F163" s="5">
        <f t="shared" si="9"/>
        <v>0.21428571428571427</v>
      </c>
    </row>
    <row r="164" spans="1:6" x14ac:dyDescent="0.25">
      <c r="A164" t="s">
        <v>61</v>
      </c>
      <c r="B164" t="s">
        <v>62</v>
      </c>
      <c r="C164" t="s">
        <v>59</v>
      </c>
      <c r="E164" s="3">
        <f>E$159</f>
        <v>0.7142857142857143</v>
      </c>
      <c r="F164" s="5">
        <f t="shared" si="9"/>
        <v>0.7142857142857143</v>
      </c>
    </row>
    <row r="165" spans="1:6" x14ac:dyDescent="0.25">
      <c r="A165" t="s">
        <v>61</v>
      </c>
      <c r="B165" t="s">
        <v>62</v>
      </c>
      <c r="C165" t="s">
        <v>60</v>
      </c>
      <c r="E165">
        <f>E$160</f>
        <v>1</v>
      </c>
      <c r="F165" s="5">
        <f t="shared" si="9"/>
        <v>1</v>
      </c>
    </row>
    <row r="166" spans="1:6" x14ac:dyDescent="0.25">
      <c r="A166" t="s">
        <v>63</v>
      </c>
      <c r="B166" t="s">
        <v>64</v>
      </c>
      <c r="C166" t="s">
        <v>4</v>
      </c>
      <c r="E166">
        <f>E$156</f>
        <v>0</v>
      </c>
      <c r="F166" s="5">
        <f t="shared" si="9"/>
        <v>0</v>
      </c>
    </row>
    <row r="167" spans="1:6" x14ac:dyDescent="0.25">
      <c r="A167" t="s">
        <v>63</v>
      </c>
      <c r="B167" t="s">
        <v>64</v>
      </c>
      <c r="C167" t="s">
        <v>57</v>
      </c>
      <c r="E167">
        <f>E$157</f>
        <v>0.05</v>
      </c>
      <c r="F167" s="5">
        <f t="shared" si="9"/>
        <v>0.05</v>
      </c>
    </row>
    <row r="168" spans="1:6" x14ac:dyDescent="0.25">
      <c r="A168" t="s">
        <v>63</v>
      </c>
      <c r="B168" t="s">
        <v>64</v>
      </c>
      <c r="C168" t="s">
        <v>58</v>
      </c>
      <c r="E168">
        <f>E$158</f>
        <v>0.21428571428571427</v>
      </c>
      <c r="F168" s="5">
        <f t="shared" si="9"/>
        <v>0.21428571428571427</v>
      </c>
    </row>
    <row r="169" spans="1:6" x14ac:dyDescent="0.25">
      <c r="A169" t="s">
        <v>63</v>
      </c>
      <c r="B169" t="s">
        <v>64</v>
      </c>
      <c r="C169" t="s">
        <v>59</v>
      </c>
      <c r="E169" s="3">
        <f>E$159</f>
        <v>0.7142857142857143</v>
      </c>
      <c r="F169" s="5">
        <f t="shared" si="9"/>
        <v>0.7142857142857143</v>
      </c>
    </row>
    <row r="170" spans="1:6" x14ac:dyDescent="0.25">
      <c r="A170" t="s">
        <v>63</v>
      </c>
      <c r="B170" t="s">
        <v>64</v>
      </c>
      <c r="C170" t="s">
        <v>60</v>
      </c>
      <c r="E170">
        <f>E$160</f>
        <v>1</v>
      </c>
      <c r="F170" s="5">
        <f t="shared" si="9"/>
        <v>1</v>
      </c>
    </row>
    <row r="171" spans="1:6" x14ac:dyDescent="0.25">
      <c r="A171" t="s">
        <v>65</v>
      </c>
      <c r="B171" t="s">
        <v>66</v>
      </c>
      <c r="C171" t="s">
        <v>4</v>
      </c>
      <c r="E171">
        <f>E$156</f>
        <v>0</v>
      </c>
      <c r="F171" s="5">
        <f t="shared" si="9"/>
        <v>0</v>
      </c>
    </row>
    <row r="172" spans="1:6" x14ac:dyDescent="0.25">
      <c r="A172" t="s">
        <v>65</v>
      </c>
      <c r="B172" t="s">
        <v>66</v>
      </c>
      <c r="C172" t="s">
        <v>57</v>
      </c>
      <c r="E172">
        <f>E$157</f>
        <v>0.05</v>
      </c>
      <c r="F172" s="5">
        <f t="shared" si="9"/>
        <v>0.05</v>
      </c>
    </row>
    <row r="173" spans="1:6" x14ac:dyDescent="0.25">
      <c r="A173" t="s">
        <v>65</v>
      </c>
      <c r="B173" t="s">
        <v>66</v>
      </c>
      <c r="C173" t="s">
        <v>58</v>
      </c>
      <c r="E173">
        <f>E$158</f>
        <v>0.21428571428571427</v>
      </c>
      <c r="F173" s="5">
        <f t="shared" si="9"/>
        <v>0.21428571428571427</v>
      </c>
    </row>
    <row r="174" spans="1:6" x14ac:dyDescent="0.25">
      <c r="A174" t="s">
        <v>65</v>
      </c>
      <c r="B174" t="s">
        <v>66</v>
      </c>
      <c r="C174" t="s">
        <v>59</v>
      </c>
      <c r="E174" s="3">
        <f>E$159</f>
        <v>0.7142857142857143</v>
      </c>
      <c r="F174" s="5">
        <f t="shared" si="9"/>
        <v>0.7142857142857143</v>
      </c>
    </row>
    <row r="175" spans="1:6" x14ac:dyDescent="0.25">
      <c r="A175" t="s">
        <v>65</v>
      </c>
      <c r="B175" t="s">
        <v>66</v>
      </c>
      <c r="C175" t="s">
        <v>60</v>
      </c>
      <c r="E175">
        <f>E$160</f>
        <v>1</v>
      </c>
      <c r="F175" s="5">
        <f t="shared" si="9"/>
        <v>1</v>
      </c>
    </row>
    <row r="176" spans="1:6" x14ac:dyDescent="0.25">
      <c r="A176" t="s">
        <v>67</v>
      </c>
      <c r="B176" t="s">
        <v>68</v>
      </c>
      <c r="C176" t="s">
        <v>4</v>
      </c>
      <c r="E176">
        <f>E$156</f>
        <v>0</v>
      </c>
      <c r="F176" s="5">
        <f t="shared" si="9"/>
        <v>0</v>
      </c>
    </row>
    <row r="177" spans="1:6" x14ac:dyDescent="0.25">
      <c r="A177" t="s">
        <v>67</v>
      </c>
      <c r="B177" t="s">
        <v>68</v>
      </c>
      <c r="C177" t="s">
        <v>57</v>
      </c>
      <c r="E177">
        <f>E$157</f>
        <v>0.05</v>
      </c>
      <c r="F177" s="5">
        <f t="shared" si="9"/>
        <v>0.05</v>
      </c>
    </row>
    <row r="178" spans="1:6" x14ac:dyDescent="0.25">
      <c r="A178" t="s">
        <v>67</v>
      </c>
      <c r="B178" t="s">
        <v>68</v>
      </c>
      <c r="C178" t="s">
        <v>58</v>
      </c>
      <c r="E178">
        <f>E$158</f>
        <v>0.21428571428571427</v>
      </c>
      <c r="F178" s="5">
        <f t="shared" si="9"/>
        <v>0.21428571428571427</v>
      </c>
    </row>
    <row r="179" spans="1:6" x14ac:dyDescent="0.25">
      <c r="A179" t="s">
        <v>67</v>
      </c>
      <c r="B179" t="s">
        <v>68</v>
      </c>
      <c r="C179" t="s">
        <v>59</v>
      </c>
      <c r="E179" s="3">
        <f>E$159</f>
        <v>0.7142857142857143</v>
      </c>
      <c r="F179" s="5">
        <f t="shared" si="9"/>
        <v>0.7142857142857143</v>
      </c>
    </row>
    <row r="180" spans="1:6" x14ac:dyDescent="0.25">
      <c r="A180" t="s">
        <v>67</v>
      </c>
      <c r="B180" t="s">
        <v>68</v>
      </c>
      <c r="C180" t="s">
        <v>60</v>
      </c>
      <c r="E180">
        <f>E$160</f>
        <v>1</v>
      </c>
      <c r="F180" s="5">
        <f t="shared" si="9"/>
        <v>1</v>
      </c>
    </row>
    <row r="181" spans="1:6" x14ac:dyDescent="0.25">
      <c r="A181" t="s">
        <v>69</v>
      </c>
      <c r="B181" t="s">
        <v>70</v>
      </c>
      <c r="C181" t="s">
        <v>4</v>
      </c>
      <c r="E181">
        <f>E$156</f>
        <v>0</v>
      </c>
      <c r="F181" s="5">
        <f t="shared" si="9"/>
        <v>0</v>
      </c>
    </row>
    <row r="182" spans="1:6" x14ac:dyDescent="0.25">
      <c r="A182" t="s">
        <v>69</v>
      </c>
      <c r="B182" t="s">
        <v>70</v>
      </c>
      <c r="C182" t="s">
        <v>57</v>
      </c>
      <c r="E182">
        <f>E$157</f>
        <v>0.05</v>
      </c>
      <c r="F182" s="5">
        <f t="shared" si="9"/>
        <v>0.05</v>
      </c>
    </row>
    <row r="183" spans="1:6" x14ac:dyDescent="0.25">
      <c r="A183" t="s">
        <v>69</v>
      </c>
      <c r="B183" t="s">
        <v>70</v>
      </c>
      <c r="C183" t="s">
        <v>58</v>
      </c>
      <c r="E183">
        <f>E$158</f>
        <v>0.21428571428571427</v>
      </c>
      <c r="F183" s="5">
        <f t="shared" si="9"/>
        <v>0.21428571428571427</v>
      </c>
    </row>
    <row r="184" spans="1:6" x14ac:dyDescent="0.25">
      <c r="A184" t="s">
        <v>69</v>
      </c>
      <c r="B184" t="s">
        <v>70</v>
      </c>
      <c r="C184" t="s">
        <v>59</v>
      </c>
      <c r="E184" s="3">
        <f>E$159</f>
        <v>0.7142857142857143</v>
      </c>
      <c r="F184" s="5">
        <f t="shared" si="9"/>
        <v>0.7142857142857143</v>
      </c>
    </row>
    <row r="185" spans="1:6" x14ac:dyDescent="0.25">
      <c r="A185" t="s">
        <v>69</v>
      </c>
      <c r="B185" t="s">
        <v>70</v>
      </c>
      <c r="C185" t="s">
        <v>60</v>
      </c>
      <c r="E185">
        <f>E$160</f>
        <v>1</v>
      </c>
      <c r="F185" s="5">
        <f t="shared" si="9"/>
        <v>1</v>
      </c>
    </row>
    <row r="186" spans="1:6" x14ac:dyDescent="0.25">
      <c r="A186" t="s">
        <v>71</v>
      </c>
      <c r="B186" t="s">
        <v>72</v>
      </c>
      <c r="C186" t="s">
        <v>4</v>
      </c>
      <c r="E186">
        <f>E$156</f>
        <v>0</v>
      </c>
      <c r="F186" s="5">
        <f t="shared" si="9"/>
        <v>0</v>
      </c>
    </row>
    <row r="187" spans="1:6" x14ac:dyDescent="0.25">
      <c r="A187" t="s">
        <v>71</v>
      </c>
      <c r="B187" t="s">
        <v>72</v>
      </c>
      <c r="C187" t="s">
        <v>57</v>
      </c>
      <c r="E187">
        <f>E$157</f>
        <v>0.05</v>
      </c>
      <c r="F187" s="5">
        <f t="shared" si="9"/>
        <v>0.05</v>
      </c>
    </row>
    <row r="188" spans="1:6" x14ac:dyDescent="0.25">
      <c r="A188" t="s">
        <v>71</v>
      </c>
      <c r="B188" t="s">
        <v>72</v>
      </c>
      <c r="C188" t="s">
        <v>58</v>
      </c>
      <c r="E188">
        <f>E$158</f>
        <v>0.21428571428571427</v>
      </c>
      <c r="F188" s="5">
        <f t="shared" si="9"/>
        <v>0.21428571428571427</v>
      </c>
    </row>
    <row r="189" spans="1:6" x14ac:dyDescent="0.25">
      <c r="A189" t="s">
        <v>71</v>
      </c>
      <c r="B189" t="s">
        <v>72</v>
      </c>
      <c r="C189" t="s">
        <v>59</v>
      </c>
      <c r="E189" s="3">
        <f>E$159</f>
        <v>0.7142857142857143</v>
      </c>
      <c r="F189" s="5">
        <f t="shared" si="9"/>
        <v>0.7142857142857143</v>
      </c>
    </row>
    <row r="190" spans="1:6" x14ac:dyDescent="0.25">
      <c r="A190" t="s">
        <v>71</v>
      </c>
      <c r="B190" t="s">
        <v>72</v>
      </c>
      <c r="C190" t="s">
        <v>60</v>
      </c>
      <c r="E190">
        <f>E$160</f>
        <v>1</v>
      </c>
      <c r="F190" s="5">
        <f t="shared" si="9"/>
        <v>1</v>
      </c>
    </row>
    <row r="191" spans="1:6" s="2" customFormat="1" x14ac:dyDescent="0.25">
      <c r="A191" s="1" t="s">
        <v>73</v>
      </c>
      <c r="B191" s="2" t="s">
        <v>74</v>
      </c>
      <c r="C191" s="2">
        <v>0</v>
      </c>
      <c r="E191" s="2">
        <v>0</v>
      </c>
      <c r="F191" s="2">
        <f>E191/MAX(E$191:E$198)</f>
        <v>0</v>
      </c>
    </row>
    <row r="192" spans="1:6" s="2" customFormat="1" x14ac:dyDescent="0.25">
      <c r="A192" s="1" t="s">
        <v>73</v>
      </c>
      <c r="B192" s="2" t="s">
        <v>74</v>
      </c>
      <c r="C192" s="2" t="s">
        <v>75</v>
      </c>
      <c r="E192" s="2">
        <f>250/2</f>
        <v>125</v>
      </c>
      <c r="F192" s="2">
        <f t="shared" ref="F192:F198" si="10">E192/MAX(E$191:E$198)</f>
        <v>6.25E-2</v>
      </c>
    </row>
    <row r="193" spans="1:6" s="2" customFormat="1" x14ac:dyDescent="0.25">
      <c r="A193" s="1" t="s">
        <v>73</v>
      </c>
      <c r="B193" s="2" t="s">
        <v>74</v>
      </c>
      <c r="C193" s="2" t="s">
        <v>76</v>
      </c>
      <c r="E193" s="2">
        <f>250</f>
        <v>250</v>
      </c>
      <c r="F193" s="2">
        <f t="shared" si="10"/>
        <v>0.125</v>
      </c>
    </row>
    <row r="194" spans="1:6" s="2" customFormat="1" x14ac:dyDescent="0.25">
      <c r="A194" s="1" t="s">
        <v>73</v>
      </c>
      <c r="B194" s="2" t="s">
        <v>74</v>
      </c>
      <c r="C194" s="2" t="s">
        <v>77</v>
      </c>
      <c r="E194" s="2">
        <v>350</v>
      </c>
      <c r="F194" s="2">
        <f t="shared" si="10"/>
        <v>0.17499999999999999</v>
      </c>
    </row>
    <row r="195" spans="1:6" s="2" customFormat="1" x14ac:dyDescent="0.25">
      <c r="A195" s="1" t="s">
        <v>73</v>
      </c>
      <c r="B195" s="2" t="s">
        <v>74</v>
      </c>
      <c r="C195" s="2" t="s">
        <v>78</v>
      </c>
      <c r="E195" s="2">
        <v>500</v>
      </c>
      <c r="F195" s="2">
        <f t="shared" si="10"/>
        <v>0.25</v>
      </c>
    </row>
    <row r="196" spans="1:6" s="2" customFormat="1" x14ac:dyDescent="0.25">
      <c r="A196" s="1" t="s">
        <v>73</v>
      </c>
      <c r="B196" s="2" t="s">
        <v>74</v>
      </c>
      <c r="C196" s="2" t="s">
        <v>79</v>
      </c>
      <c r="E196" s="2">
        <v>590</v>
      </c>
      <c r="F196" s="2">
        <f t="shared" si="10"/>
        <v>0.29499999999999998</v>
      </c>
    </row>
    <row r="197" spans="1:6" s="2" customFormat="1" x14ac:dyDescent="0.25">
      <c r="A197" s="1" t="s">
        <v>73</v>
      </c>
      <c r="B197" s="2" t="s">
        <v>74</v>
      </c>
      <c r="C197" s="2" t="s">
        <v>80</v>
      </c>
      <c r="E197" s="2">
        <v>1000</v>
      </c>
      <c r="F197" s="2">
        <f t="shared" si="10"/>
        <v>0.5</v>
      </c>
    </row>
    <row r="198" spans="1:6" s="2" customFormat="1" x14ac:dyDescent="0.25">
      <c r="A198" s="1" t="s">
        <v>73</v>
      </c>
      <c r="B198" s="2" t="s">
        <v>74</v>
      </c>
      <c r="C198" s="2" t="s">
        <v>81</v>
      </c>
      <c r="E198" s="2">
        <v>2000</v>
      </c>
      <c r="F198" s="2">
        <f t="shared" si="10"/>
        <v>1</v>
      </c>
    </row>
    <row r="199" spans="1:6" x14ac:dyDescent="0.25">
      <c r="A199" t="s">
        <v>82</v>
      </c>
      <c r="B199" t="s">
        <v>83</v>
      </c>
      <c r="C199">
        <v>0</v>
      </c>
      <c r="E199">
        <f>E$191</f>
        <v>0</v>
      </c>
      <c r="F199" s="5">
        <f>F191</f>
        <v>0</v>
      </c>
    </row>
    <row r="200" spans="1:6" x14ac:dyDescent="0.25">
      <c r="A200" t="s">
        <v>82</v>
      </c>
      <c r="B200" t="s">
        <v>83</v>
      </c>
      <c r="C200" t="s">
        <v>75</v>
      </c>
      <c r="E200">
        <f>E$192</f>
        <v>125</v>
      </c>
      <c r="F200" s="5">
        <f t="shared" ref="F200:F246" si="11">F192</f>
        <v>6.25E-2</v>
      </c>
    </row>
    <row r="201" spans="1:6" x14ac:dyDescent="0.25">
      <c r="A201" t="s">
        <v>82</v>
      </c>
      <c r="B201" t="s">
        <v>83</v>
      </c>
      <c r="C201" t="s">
        <v>76</v>
      </c>
      <c r="E201">
        <f>E$193</f>
        <v>250</v>
      </c>
      <c r="F201" s="5">
        <f t="shared" si="11"/>
        <v>0.125</v>
      </c>
    </row>
    <row r="202" spans="1:6" x14ac:dyDescent="0.25">
      <c r="A202" t="s">
        <v>82</v>
      </c>
      <c r="B202" t="s">
        <v>83</v>
      </c>
      <c r="C202" t="s">
        <v>77</v>
      </c>
      <c r="E202">
        <f>E$194</f>
        <v>350</v>
      </c>
      <c r="F202" s="5">
        <f t="shared" si="11"/>
        <v>0.17499999999999999</v>
      </c>
    </row>
    <row r="203" spans="1:6" x14ac:dyDescent="0.25">
      <c r="A203" t="s">
        <v>82</v>
      </c>
      <c r="B203" t="s">
        <v>83</v>
      </c>
      <c r="C203" t="s">
        <v>78</v>
      </c>
      <c r="E203">
        <f>E$195</f>
        <v>500</v>
      </c>
      <c r="F203" s="5">
        <f t="shared" si="11"/>
        <v>0.25</v>
      </c>
    </row>
    <row r="204" spans="1:6" x14ac:dyDescent="0.25">
      <c r="A204" t="s">
        <v>82</v>
      </c>
      <c r="B204" t="s">
        <v>83</v>
      </c>
      <c r="C204" t="s">
        <v>79</v>
      </c>
      <c r="E204">
        <f>E$196</f>
        <v>590</v>
      </c>
      <c r="F204" s="5">
        <f t="shared" si="11"/>
        <v>0.29499999999999998</v>
      </c>
    </row>
    <row r="205" spans="1:6" x14ac:dyDescent="0.25">
      <c r="A205" t="s">
        <v>82</v>
      </c>
      <c r="B205" t="s">
        <v>83</v>
      </c>
      <c r="C205" t="s">
        <v>80</v>
      </c>
      <c r="E205">
        <f>E$197</f>
        <v>1000</v>
      </c>
      <c r="F205" s="5">
        <f t="shared" si="11"/>
        <v>0.5</v>
      </c>
    </row>
    <row r="206" spans="1:6" x14ac:dyDescent="0.25">
      <c r="A206" t="s">
        <v>82</v>
      </c>
      <c r="B206" t="s">
        <v>83</v>
      </c>
      <c r="C206" t="s">
        <v>81</v>
      </c>
      <c r="E206">
        <f>E$198</f>
        <v>2000</v>
      </c>
      <c r="F206" s="5">
        <f t="shared" si="11"/>
        <v>1</v>
      </c>
    </row>
    <row r="207" spans="1:6" x14ac:dyDescent="0.25">
      <c r="A207" t="s">
        <v>84</v>
      </c>
      <c r="B207" t="s">
        <v>85</v>
      </c>
      <c r="C207">
        <v>0</v>
      </c>
      <c r="E207">
        <f>E$191</f>
        <v>0</v>
      </c>
      <c r="F207" s="5">
        <f t="shared" si="11"/>
        <v>0</v>
      </c>
    </row>
    <row r="208" spans="1:6" x14ac:dyDescent="0.25">
      <c r="A208" t="s">
        <v>84</v>
      </c>
      <c r="B208" t="s">
        <v>85</v>
      </c>
      <c r="C208" t="s">
        <v>75</v>
      </c>
      <c r="E208">
        <f>E$192</f>
        <v>125</v>
      </c>
      <c r="F208" s="5">
        <f t="shared" si="11"/>
        <v>6.25E-2</v>
      </c>
    </row>
    <row r="209" spans="1:6" x14ac:dyDescent="0.25">
      <c r="A209" t="s">
        <v>84</v>
      </c>
      <c r="B209" t="s">
        <v>85</v>
      </c>
      <c r="C209" t="s">
        <v>76</v>
      </c>
      <c r="E209">
        <f>E$193</f>
        <v>250</v>
      </c>
      <c r="F209" s="5">
        <f t="shared" si="11"/>
        <v>0.125</v>
      </c>
    </row>
    <row r="210" spans="1:6" x14ac:dyDescent="0.25">
      <c r="A210" t="s">
        <v>84</v>
      </c>
      <c r="B210" t="s">
        <v>85</v>
      </c>
      <c r="C210" t="s">
        <v>77</v>
      </c>
      <c r="E210">
        <f>E$194</f>
        <v>350</v>
      </c>
      <c r="F210" s="5">
        <f t="shared" si="11"/>
        <v>0.17499999999999999</v>
      </c>
    </row>
    <row r="211" spans="1:6" x14ac:dyDescent="0.25">
      <c r="A211" t="s">
        <v>84</v>
      </c>
      <c r="B211" t="s">
        <v>85</v>
      </c>
      <c r="C211" t="s">
        <v>78</v>
      </c>
      <c r="E211">
        <f>E$195</f>
        <v>500</v>
      </c>
      <c r="F211" s="5">
        <f t="shared" si="11"/>
        <v>0.25</v>
      </c>
    </row>
    <row r="212" spans="1:6" x14ac:dyDescent="0.25">
      <c r="A212" t="s">
        <v>84</v>
      </c>
      <c r="B212" t="s">
        <v>85</v>
      </c>
      <c r="C212" t="s">
        <v>79</v>
      </c>
      <c r="E212">
        <f>E$196</f>
        <v>590</v>
      </c>
      <c r="F212" s="5">
        <f t="shared" si="11"/>
        <v>0.29499999999999998</v>
      </c>
    </row>
    <row r="213" spans="1:6" x14ac:dyDescent="0.25">
      <c r="A213" t="s">
        <v>84</v>
      </c>
      <c r="B213" t="s">
        <v>85</v>
      </c>
      <c r="C213" t="s">
        <v>80</v>
      </c>
      <c r="E213">
        <f>E$197</f>
        <v>1000</v>
      </c>
      <c r="F213" s="5">
        <f t="shared" si="11"/>
        <v>0.5</v>
      </c>
    </row>
    <row r="214" spans="1:6" x14ac:dyDescent="0.25">
      <c r="A214" t="s">
        <v>84</v>
      </c>
      <c r="B214" t="s">
        <v>85</v>
      </c>
      <c r="C214" t="s">
        <v>81</v>
      </c>
      <c r="E214">
        <f>E$198</f>
        <v>2000</v>
      </c>
      <c r="F214" s="5">
        <f t="shared" si="11"/>
        <v>1</v>
      </c>
    </row>
    <row r="215" spans="1:6" x14ac:dyDescent="0.25">
      <c r="A215" t="s">
        <v>86</v>
      </c>
      <c r="B215" t="s">
        <v>87</v>
      </c>
      <c r="C215">
        <v>0</v>
      </c>
      <c r="E215">
        <f>E$191</f>
        <v>0</v>
      </c>
      <c r="F215" s="5">
        <f t="shared" si="11"/>
        <v>0</v>
      </c>
    </row>
    <row r="216" spans="1:6" x14ac:dyDescent="0.25">
      <c r="A216" t="s">
        <v>86</v>
      </c>
      <c r="B216" t="s">
        <v>87</v>
      </c>
      <c r="C216" t="s">
        <v>75</v>
      </c>
      <c r="E216">
        <f>E$192</f>
        <v>125</v>
      </c>
      <c r="F216" s="5">
        <f t="shared" si="11"/>
        <v>6.25E-2</v>
      </c>
    </row>
    <row r="217" spans="1:6" x14ac:dyDescent="0.25">
      <c r="A217" t="s">
        <v>86</v>
      </c>
      <c r="B217" t="s">
        <v>87</v>
      </c>
      <c r="C217" t="s">
        <v>76</v>
      </c>
      <c r="E217">
        <f>E$193</f>
        <v>250</v>
      </c>
      <c r="F217" s="5">
        <f t="shared" si="11"/>
        <v>0.125</v>
      </c>
    </row>
    <row r="218" spans="1:6" x14ac:dyDescent="0.25">
      <c r="A218" t="s">
        <v>86</v>
      </c>
      <c r="B218" t="s">
        <v>87</v>
      </c>
      <c r="C218" t="s">
        <v>77</v>
      </c>
      <c r="E218">
        <f>E$194</f>
        <v>350</v>
      </c>
      <c r="F218" s="5">
        <f t="shared" si="11"/>
        <v>0.17499999999999999</v>
      </c>
    </row>
    <row r="219" spans="1:6" x14ac:dyDescent="0.25">
      <c r="A219" t="s">
        <v>86</v>
      </c>
      <c r="B219" t="s">
        <v>87</v>
      </c>
      <c r="C219" t="s">
        <v>78</v>
      </c>
      <c r="E219">
        <f>E$195</f>
        <v>500</v>
      </c>
      <c r="F219" s="5">
        <f t="shared" si="11"/>
        <v>0.25</v>
      </c>
    </row>
    <row r="220" spans="1:6" x14ac:dyDescent="0.25">
      <c r="A220" t="s">
        <v>86</v>
      </c>
      <c r="B220" t="s">
        <v>87</v>
      </c>
      <c r="C220" t="s">
        <v>79</v>
      </c>
      <c r="E220">
        <f>E$196</f>
        <v>590</v>
      </c>
      <c r="F220" s="5">
        <f t="shared" si="11"/>
        <v>0.29499999999999998</v>
      </c>
    </row>
    <row r="221" spans="1:6" x14ac:dyDescent="0.25">
      <c r="A221" t="s">
        <v>86</v>
      </c>
      <c r="B221" t="s">
        <v>87</v>
      </c>
      <c r="C221" t="s">
        <v>80</v>
      </c>
      <c r="E221">
        <f>E$197</f>
        <v>1000</v>
      </c>
      <c r="F221" s="5">
        <f t="shared" si="11"/>
        <v>0.5</v>
      </c>
    </row>
    <row r="222" spans="1:6" x14ac:dyDescent="0.25">
      <c r="A222" t="s">
        <v>86</v>
      </c>
      <c r="B222" t="s">
        <v>87</v>
      </c>
      <c r="C222" t="s">
        <v>81</v>
      </c>
      <c r="E222">
        <f>E$198</f>
        <v>2000</v>
      </c>
      <c r="F222" s="5">
        <f t="shared" si="11"/>
        <v>1</v>
      </c>
    </row>
    <row r="223" spans="1:6" x14ac:dyDescent="0.25">
      <c r="A223" t="s">
        <v>88</v>
      </c>
      <c r="B223" t="s">
        <v>89</v>
      </c>
      <c r="C223">
        <v>0</v>
      </c>
      <c r="E223">
        <f>E$191</f>
        <v>0</v>
      </c>
      <c r="F223" s="5">
        <f t="shared" si="11"/>
        <v>0</v>
      </c>
    </row>
    <row r="224" spans="1:6" x14ac:dyDescent="0.25">
      <c r="A224" t="s">
        <v>88</v>
      </c>
      <c r="B224" t="s">
        <v>89</v>
      </c>
      <c r="C224" t="s">
        <v>75</v>
      </c>
      <c r="E224">
        <f>E$192</f>
        <v>125</v>
      </c>
      <c r="F224" s="5">
        <f t="shared" si="11"/>
        <v>6.25E-2</v>
      </c>
    </row>
    <row r="225" spans="1:6" x14ac:dyDescent="0.25">
      <c r="A225" t="s">
        <v>88</v>
      </c>
      <c r="B225" t="s">
        <v>89</v>
      </c>
      <c r="C225" t="s">
        <v>76</v>
      </c>
      <c r="E225">
        <f>E$193</f>
        <v>250</v>
      </c>
      <c r="F225" s="5">
        <f t="shared" si="11"/>
        <v>0.125</v>
      </c>
    </row>
    <row r="226" spans="1:6" x14ac:dyDescent="0.25">
      <c r="A226" t="s">
        <v>88</v>
      </c>
      <c r="B226" t="s">
        <v>89</v>
      </c>
      <c r="C226" t="s">
        <v>77</v>
      </c>
      <c r="E226">
        <f>E$194</f>
        <v>350</v>
      </c>
      <c r="F226" s="5">
        <f t="shared" si="11"/>
        <v>0.17499999999999999</v>
      </c>
    </row>
    <row r="227" spans="1:6" x14ac:dyDescent="0.25">
      <c r="A227" t="s">
        <v>88</v>
      </c>
      <c r="B227" t="s">
        <v>89</v>
      </c>
      <c r="C227" t="s">
        <v>78</v>
      </c>
      <c r="E227">
        <f>E$195</f>
        <v>500</v>
      </c>
      <c r="F227" s="5">
        <f t="shared" si="11"/>
        <v>0.25</v>
      </c>
    </row>
    <row r="228" spans="1:6" x14ac:dyDescent="0.25">
      <c r="A228" t="s">
        <v>88</v>
      </c>
      <c r="B228" t="s">
        <v>89</v>
      </c>
      <c r="C228" t="s">
        <v>79</v>
      </c>
      <c r="E228">
        <f>E$196</f>
        <v>590</v>
      </c>
      <c r="F228" s="5">
        <f t="shared" si="11"/>
        <v>0.29499999999999998</v>
      </c>
    </row>
    <row r="229" spans="1:6" x14ac:dyDescent="0.25">
      <c r="A229" t="s">
        <v>88</v>
      </c>
      <c r="B229" t="s">
        <v>89</v>
      </c>
      <c r="C229" t="s">
        <v>80</v>
      </c>
      <c r="E229">
        <f>E$197</f>
        <v>1000</v>
      </c>
      <c r="F229" s="5">
        <f t="shared" si="11"/>
        <v>0.5</v>
      </c>
    </row>
    <row r="230" spans="1:6" x14ac:dyDescent="0.25">
      <c r="A230" t="s">
        <v>88</v>
      </c>
      <c r="B230" t="s">
        <v>89</v>
      </c>
      <c r="C230" t="s">
        <v>81</v>
      </c>
      <c r="E230">
        <f>E$198</f>
        <v>2000</v>
      </c>
      <c r="F230" s="5">
        <f t="shared" si="11"/>
        <v>1</v>
      </c>
    </row>
    <row r="231" spans="1:6" x14ac:dyDescent="0.25">
      <c r="A231" t="s">
        <v>90</v>
      </c>
      <c r="B231" t="s">
        <v>91</v>
      </c>
      <c r="C231">
        <v>0</v>
      </c>
      <c r="E231">
        <f>E$191</f>
        <v>0</v>
      </c>
      <c r="F231" s="5">
        <f t="shared" si="11"/>
        <v>0</v>
      </c>
    </row>
    <row r="232" spans="1:6" x14ac:dyDescent="0.25">
      <c r="A232" t="s">
        <v>90</v>
      </c>
      <c r="B232" t="s">
        <v>91</v>
      </c>
      <c r="C232" t="s">
        <v>75</v>
      </c>
      <c r="E232">
        <f>E$192</f>
        <v>125</v>
      </c>
      <c r="F232" s="5">
        <f t="shared" si="11"/>
        <v>6.25E-2</v>
      </c>
    </row>
    <row r="233" spans="1:6" x14ac:dyDescent="0.25">
      <c r="A233" t="s">
        <v>90</v>
      </c>
      <c r="B233" t="s">
        <v>91</v>
      </c>
      <c r="C233" t="s">
        <v>76</v>
      </c>
      <c r="E233">
        <f>E$193</f>
        <v>250</v>
      </c>
      <c r="F233" s="5">
        <f t="shared" si="11"/>
        <v>0.125</v>
      </c>
    </row>
    <row r="234" spans="1:6" x14ac:dyDescent="0.25">
      <c r="A234" t="s">
        <v>90</v>
      </c>
      <c r="B234" t="s">
        <v>91</v>
      </c>
      <c r="C234" t="s">
        <v>77</v>
      </c>
      <c r="E234">
        <f>E$194</f>
        <v>350</v>
      </c>
      <c r="F234" s="5">
        <f t="shared" si="11"/>
        <v>0.17499999999999999</v>
      </c>
    </row>
    <row r="235" spans="1:6" x14ac:dyDescent="0.25">
      <c r="A235" t="s">
        <v>90</v>
      </c>
      <c r="B235" t="s">
        <v>91</v>
      </c>
      <c r="C235" t="s">
        <v>78</v>
      </c>
      <c r="E235">
        <f>E$195</f>
        <v>500</v>
      </c>
      <c r="F235" s="5">
        <f t="shared" si="11"/>
        <v>0.25</v>
      </c>
    </row>
    <row r="236" spans="1:6" x14ac:dyDescent="0.25">
      <c r="A236" t="s">
        <v>90</v>
      </c>
      <c r="B236" t="s">
        <v>91</v>
      </c>
      <c r="C236" t="s">
        <v>79</v>
      </c>
      <c r="E236">
        <f>E$196</f>
        <v>590</v>
      </c>
      <c r="F236" s="5">
        <f t="shared" si="11"/>
        <v>0.29499999999999998</v>
      </c>
    </row>
    <row r="237" spans="1:6" x14ac:dyDescent="0.25">
      <c r="A237" t="s">
        <v>90</v>
      </c>
      <c r="B237" t="s">
        <v>91</v>
      </c>
      <c r="C237" t="s">
        <v>80</v>
      </c>
      <c r="E237">
        <f>E$197</f>
        <v>1000</v>
      </c>
      <c r="F237" s="5">
        <f t="shared" si="11"/>
        <v>0.5</v>
      </c>
    </row>
    <row r="238" spans="1:6" x14ac:dyDescent="0.25">
      <c r="A238" t="s">
        <v>90</v>
      </c>
      <c r="B238" t="s">
        <v>91</v>
      </c>
      <c r="C238" t="s">
        <v>81</v>
      </c>
      <c r="E238">
        <f>E$198</f>
        <v>2000</v>
      </c>
      <c r="F238" s="5">
        <f t="shared" si="11"/>
        <v>1</v>
      </c>
    </row>
    <row r="239" spans="1:6" x14ac:dyDescent="0.25">
      <c r="A239" t="s">
        <v>92</v>
      </c>
      <c r="B239" t="s">
        <v>93</v>
      </c>
      <c r="C239">
        <v>0</v>
      </c>
      <c r="E239">
        <f>E$191</f>
        <v>0</v>
      </c>
      <c r="F239" s="5">
        <f t="shared" si="11"/>
        <v>0</v>
      </c>
    </row>
    <row r="240" spans="1:6" x14ac:dyDescent="0.25">
      <c r="A240" t="s">
        <v>92</v>
      </c>
      <c r="B240" t="s">
        <v>93</v>
      </c>
      <c r="C240" t="s">
        <v>75</v>
      </c>
      <c r="E240">
        <f>E$192</f>
        <v>125</v>
      </c>
      <c r="F240" s="5">
        <f t="shared" si="11"/>
        <v>6.25E-2</v>
      </c>
    </row>
    <row r="241" spans="1:6" x14ac:dyDescent="0.25">
      <c r="A241" t="s">
        <v>92</v>
      </c>
      <c r="B241" t="s">
        <v>93</v>
      </c>
      <c r="C241" t="s">
        <v>76</v>
      </c>
      <c r="E241">
        <f>E$193</f>
        <v>250</v>
      </c>
      <c r="F241" s="5">
        <f t="shared" si="11"/>
        <v>0.125</v>
      </c>
    </row>
    <row r="242" spans="1:6" x14ac:dyDescent="0.25">
      <c r="A242" t="s">
        <v>92</v>
      </c>
      <c r="B242" t="s">
        <v>93</v>
      </c>
      <c r="C242" t="s">
        <v>77</v>
      </c>
      <c r="E242">
        <f>E$194</f>
        <v>350</v>
      </c>
      <c r="F242" s="5">
        <f t="shared" si="11"/>
        <v>0.17499999999999999</v>
      </c>
    </row>
    <row r="243" spans="1:6" x14ac:dyDescent="0.25">
      <c r="A243" t="s">
        <v>92</v>
      </c>
      <c r="B243" t="s">
        <v>93</v>
      </c>
      <c r="C243" t="s">
        <v>78</v>
      </c>
      <c r="E243">
        <f>E$195</f>
        <v>500</v>
      </c>
      <c r="F243" s="5">
        <f t="shared" si="11"/>
        <v>0.25</v>
      </c>
    </row>
    <row r="244" spans="1:6" x14ac:dyDescent="0.25">
      <c r="A244" t="s">
        <v>92</v>
      </c>
      <c r="B244" t="s">
        <v>93</v>
      </c>
      <c r="C244" t="s">
        <v>79</v>
      </c>
      <c r="E244">
        <f>E$196</f>
        <v>590</v>
      </c>
      <c r="F244" s="5">
        <f t="shared" si="11"/>
        <v>0.29499999999999998</v>
      </c>
    </row>
    <row r="245" spans="1:6" x14ac:dyDescent="0.25">
      <c r="A245" t="s">
        <v>92</v>
      </c>
      <c r="B245" t="s">
        <v>93</v>
      </c>
      <c r="C245" t="s">
        <v>80</v>
      </c>
      <c r="E245">
        <f>E$197</f>
        <v>1000</v>
      </c>
      <c r="F245" s="5">
        <f t="shared" si="11"/>
        <v>0.5</v>
      </c>
    </row>
    <row r="246" spans="1:6" x14ac:dyDescent="0.25">
      <c r="A246" t="s">
        <v>92</v>
      </c>
      <c r="B246" t="s">
        <v>93</v>
      </c>
      <c r="C246" t="s">
        <v>81</v>
      </c>
      <c r="E246">
        <f>E$198</f>
        <v>2000</v>
      </c>
      <c r="F246" s="5">
        <f t="shared" si="11"/>
        <v>1</v>
      </c>
    </row>
    <row r="247" spans="1:6" s="2" customFormat="1" x14ac:dyDescent="0.25">
      <c r="A247" s="1" t="s">
        <v>94</v>
      </c>
      <c r="B247" s="2" t="s">
        <v>95</v>
      </c>
      <c r="C247" s="2" t="s">
        <v>4</v>
      </c>
      <c r="E247" s="2">
        <v>0</v>
      </c>
      <c r="F247" s="2">
        <f>E247/MAX(E$247:E$251)</f>
        <v>0</v>
      </c>
    </row>
    <row r="248" spans="1:6" s="2" customFormat="1" x14ac:dyDescent="0.25">
      <c r="A248" s="1" t="s">
        <v>94</v>
      </c>
      <c r="B248" s="2" t="s">
        <v>95</v>
      </c>
      <c r="C248" s="2" t="s">
        <v>57</v>
      </c>
      <c r="E248" s="2">
        <f>1.5/30</f>
        <v>0.05</v>
      </c>
      <c r="F248" s="2">
        <f t="shared" ref="F248:F251" si="12">E248/MAX(E$247:E$251)</f>
        <v>0.05</v>
      </c>
    </row>
    <row r="249" spans="1:6" s="2" customFormat="1" x14ac:dyDescent="0.25">
      <c r="A249" s="1" t="s">
        <v>94</v>
      </c>
      <c r="B249" s="2" t="s">
        <v>95</v>
      </c>
      <c r="C249" s="2" t="s">
        <v>58</v>
      </c>
      <c r="E249" s="2">
        <f>1.5/7</f>
        <v>0.21428571428571427</v>
      </c>
      <c r="F249" s="2">
        <f t="shared" si="12"/>
        <v>0.21428571428571427</v>
      </c>
    </row>
    <row r="250" spans="1:6" s="2" customFormat="1" x14ac:dyDescent="0.25">
      <c r="A250" s="1" t="s">
        <v>94</v>
      </c>
      <c r="B250" s="2" t="s">
        <v>95</v>
      </c>
      <c r="C250" s="2" t="s">
        <v>27</v>
      </c>
      <c r="E250" s="2">
        <f>5/7</f>
        <v>0.7142857142857143</v>
      </c>
      <c r="F250" s="2">
        <f t="shared" si="12"/>
        <v>0.7142857142857143</v>
      </c>
    </row>
    <row r="251" spans="1:6" s="2" customFormat="1" x14ac:dyDescent="0.25">
      <c r="A251" s="1" t="s">
        <v>94</v>
      </c>
      <c r="B251" s="2" t="s">
        <v>95</v>
      </c>
      <c r="C251" s="2" t="s">
        <v>60</v>
      </c>
      <c r="E251" s="2">
        <v>1</v>
      </c>
      <c r="F251" s="2">
        <f t="shared" si="12"/>
        <v>1</v>
      </c>
    </row>
    <row r="252" spans="1:6" x14ac:dyDescent="0.25">
      <c r="A252" t="s">
        <v>96</v>
      </c>
      <c r="B252" t="s">
        <v>97</v>
      </c>
      <c r="C252" t="s">
        <v>4</v>
      </c>
      <c r="E252">
        <f>E247</f>
        <v>0</v>
      </c>
      <c r="F252" s="5">
        <f>F247</f>
        <v>0</v>
      </c>
    </row>
    <row r="253" spans="1:6" x14ac:dyDescent="0.25">
      <c r="A253" t="s">
        <v>96</v>
      </c>
      <c r="B253" t="s">
        <v>97</v>
      </c>
      <c r="C253" t="s">
        <v>57</v>
      </c>
      <c r="E253">
        <f t="shared" ref="E253:F261" si="13">E248</f>
        <v>0.05</v>
      </c>
      <c r="F253" s="5">
        <f t="shared" si="13"/>
        <v>0.05</v>
      </c>
    </row>
    <row r="254" spans="1:6" x14ac:dyDescent="0.25">
      <c r="A254" t="s">
        <v>96</v>
      </c>
      <c r="B254" t="s">
        <v>97</v>
      </c>
      <c r="C254" t="s">
        <v>58</v>
      </c>
      <c r="E254">
        <f t="shared" si="13"/>
        <v>0.21428571428571427</v>
      </c>
      <c r="F254" s="5">
        <f t="shared" si="13"/>
        <v>0.21428571428571427</v>
      </c>
    </row>
    <row r="255" spans="1:6" x14ac:dyDescent="0.25">
      <c r="A255" t="s">
        <v>96</v>
      </c>
      <c r="B255" t="s">
        <v>97</v>
      </c>
      <c r="C255" t="s">
        <v>27</v>
      </c>
      <c r="E255">
        <f t="shared" si="13"/>
        <v>0.7142857142857143</v>
      </c>
      <c r="F255" s="5">
        <f t="shared" si="13"/>
        <v>0.7142857142857143</v>
      </c>
    </row>
    <row r="256" spans="1:6" x14ac:dyDescent="0.25">
      <c r="A256" t="s">
        <v>96</v>
      </c>
      <c r="B256" t="s">
        <v>97</v>
      </c>
      <c r="C256" t="s">
        <v>60</v>
      </c>
      <c r="E256">
        <f t="shared" si="13"/>
        <v>1</v>
      </c>
      <c r="F256" s="5">
        <f t="shared" si="13"/>
        <v>1</v>
      </c>
    </row>
    <row r="257" spans="1:6" x14ac:dyDescent="0.25">
      <c r="A257" t="s">
        <v>98</v>
      </c>
      <c r="B257" t="s">
        <v>99</v>
      </c>
      <c r="C257" t="s">
        <v>4</v>
      </c>
      <c r="E257">
        <f>E252</f>
        <v>0</v>
      </c>
      <c r="F257" s="5">
        <f t="shared" ref="F257:F261" si="14">F252</f>
        <v>0</v>
      </c>
    </row>
    <row r="258" spans="1:6" x14ac:dyDescent="0.25">
      <c r="A258" t="s">
        <v>98</v>
      </c>
      <c r="B258" t="s">
        <v>99</v>
      </c>
      <c r="C258" t="s">
        <v>57</v>
      </c>
      <c r="E258">
        <f t="shared" si="13"/>
        <v>0.05</v>
      </c>
      <c r="F258" s="5">
        <f t="shared" si="14"/>
        <v>0.05</v>
      </c>
    </row>
    <row r="259" spans="1:6" x14ac:dyDescent="0.25">
      <c r="A259" t="s">
        <v>98</v>
      </c>
      <c r="B259" t="s">
        <v>99</v>
      </c>
      <c r="C259" t="s">
        <v>58</v>
      </c>
      <c r="E259">
        <f t="shared" si="13"/>
        <v>0.21428571428571427</v>
      </c>
      <c r="F259" s="5">
        <f t="shared" si="14"/>
        <v>0.21428571428571427</v>
      </c>
    </row>
    <row r="260" spans="1:6" x14ac:dyDescent="0.25">
      <c r="A260" t="s">
        <v>98</v>
      </c>
      <c r="B260" t="s">
        <v>99</v>
      </c>
      <c r="C260" t="s">
        <v>27</v>
      </c>
      <c r="E260">
        <f t="shared" si="13"/>
        <v>0.7142857142857143</v>
      </c>
      <c r="F260" s="5">
        <f t="shared" si="14"/>
        <v>0.7142857142857143</v>
      </c>
    </row>
    <row r="261" spans="1:6" x14ac:dyDescent="0.25">
      <c r="A261" t="s">
        <v>98</v>
      </c>
      <c r="B261" t="s">
        <v>99</v>
      </c>
      <c r="C261" t="s">
        <v>60</v>
      </c>
      <c r="E261">
        <f t="shared" si="13"/>
        <v>1</v>
      </c>
      <c r="F261" s="5">
        <f t="shared" si="14"/>
        <v>1</v>
      </c>
    </row>
    <row r="262" spans="1:6" s="2" customFormat="1" x14ac:dyDescent="0.25">
      <c r="A262" s="2" t="s">
        <v>100</v>
      </c>
      <c r="B262" s="2" t="s">
        <v>101</v>
      </c>
      <c r="C262" s="2">
        <v>0</v>
      </c>
      <c r="E262" s="2">
        <v>0</v>
      </c>
      <c r="F262" s="2">
        <f>E262/MAX(E$262:E$269)</f>
        <v>0</v>
      </c>
    </row>
    <row r="263" spans="1:6" s="2" customFormat="1" x14ac:dyDescent="0.25">
      <c r="A263" s="2" t="s">
        <v>100</v>
      </c>
      <c r="B263" s="2" t="s">
        <v>101</v>
      </c>
      <c r="C263" s="2" t="s">
        <v>75</v>
      </c>
      <c r="E263" s="2">
        <f>250/2</f>
        <v>125</v>
      </c>
      <c r="F263" s="2">
        <f t="shared" ref="F263:F269" si="15">E263/MAX(E$262:E$269)</f>
        <v>6.25E-2</v>
      </c>
    </row>
    <row r="264" spans="1:6" s="2" customFormat="1" x14ac:dyDescent="0.25">
      <c r="A264" s="2" t="s">
        <v>100</v>
      </c>
      <c r="B264" s="2" t="s">
        <v>101</v>
      </c>
      <c r="C264" s="2" t="s">
        <v>76</v>
      </c>
      <c r="E264" s="2">
        <f>250</f>
        <v>250</v>
      </c>
      <c r="F264" s="2">
        <f t="shared" si="15"/>
        <v>0.125</v>
      </c>
    </row>
    <row r="265" spans="1:6" s="2" customFormat="1" x14ac:dyDescent="0.25">
      <c r="A265" s="2" t="s">
        <v>100</v>
      </c>
      <c r="B265" s="2" t="s">
        <v>101</v>
      </c>
      <c r="C265" s="2" t="s">
        <v>77</v>
      </c>
      <c r="E265" s="2">
        <v>350</v>
      </c>
      <c r="F265" s="2">
        <f t="shared" si="15"/>
        <v>0.17499999999999999</v>
      </c>
    </row>
    <row r="266" spans="1:6" s="2" customFormat="1" x14ac:dyDescent="0.25">
      <c r="A266" s="2" t="s">
        <v>100</v>
      </c>
      <c r="B266" s="2" t="s">
        <v>101</v>
      </c>
      <c r="C266" s="2" t="s">
        <v>78</v>
      </c>
      <c r="E266" s="2">
        <v>500</v>
      </c>
      <c r="F266" s="2">
        <f t="shared" si="15"/>
        <v>0.25</v>
      </c>
    </row>
    <row r="267" spans="1:6" s="2" customFormat="1" x14ac:dyDescent="0.25">
      <c r="A267" s="2" t="s">
        <v>100</v>
      </c>
      <c r="B267" s="2" t="s">
        <v>101</v>
      </c>
      <c r="C267" s="2" t="s">
        <v>79</v>
      </c>
      <c r="E267" s="2">
        <v>590</v>
      </c>
      <c r="F267" s="2">
        <f t="shared" si="15"/>
        <v>0.29499999999999998</v>
      </c>
    </row>
    <row r="268" spans="1:6" s="2" customFormat="1" x14ac:dyDescent="0.25">
      <c r="A268" s="2" t="s">
        <v>100</v>
      </c>
      <c r="B268" s="2" t="s">
        <v>101</v>
      </c>
      <c r="C268" s="2" t="s">
        <v>102</v>
      </c>
      <c r="E268" s="2">
        <v>1000</v>
      </c>
      <c r="F268" s="2">
        <f t="shared" si="15"/>
        <v>0.5</v>
      </c>
    </row>
    <row r="269" spans="1:6" s="2" customFormat="1" x14ac:dyDescent="0.25">
      <c r="A269" s="2" t="s">
        <v>100</v>
      </c>
      <c r="B269" s="2" t="s">
        <v>101</v>
      </c>
      <c r="C269" s="2" t="s">
        <v>103</v>
      </c>
      <c r="E269" s="2">
        <v>2000</v>
      </c>
      <c r="F269" s="2">
        <f t="shared" si="15"/>
        <v>1</v>
      </c>
    </row>
    <row r="270" spans="1:6" x14ac:dyDescent="0.25">
      <c r="A270" t="s">
        <v>104</v>
      </c>
      <c r="B270" t="s">
        <v>105</v>
      </c>
      <c r="C270">
        <v>0</v>
      </c>
      <c r="E270">
        <f>E262</f>
        <v>0</v>
      </c>
      <c r="F270" s="5">
        <f>F262</f>
        <v>0</v>
      </c>
    </row>
    <row r="271" spans="1:6" x14ac:dyDescent="0.25">
      <c r="A271" t="s">
        <v>104</v>
      </c>
      <c r="B271" t="s">
        <v>105</v>
      </c>
      <c r="C271" t="s">
        <v>75</v>
      </c>
      <c r="E271">
        <f t="shared" ref="E271:F285" si="16">E263</f>
        <v>125</v>
      </c>
      <c r="F271" s="5">
        <f t="shared" si="16"/>
        <v>6.25E-2</v>
      </c>
    </row>
    <row r="272" spans="1:6" x14ac:dyDescent="0.25">
      <c r="A272" t="s">
        <v>104</v>
      </c>
      <c r="B272" t="s">
        <v>105</v>
      </c>
      <c r="C272" t="s">
        <v>76</v>
      </c>
      <c r="E272">
        <f t="shared" si="16"/>
        <v>250</v>
      </c>
      <c r="F272" s="5">
        <f t="shared" si="16"/>
        <v>0.125</v>
      </c>
    </row>
    <row r="273" spans="1:6" x14ac:dyDescent="0.25">
      <c r="A273" t="s">
        <v>104</v>
      </c>
      <c r="B273" t="s">
        <v>105</v>
      </c>
      <c r="C273" t="s">
        <v>77</v>
      </c>
      <c r="E273">
        <f t="shared" si="16"/>
        <v>350</v>
      </c>
      <c r="F273" s="5">
        <f t="shared" si="16"/>
        <v>0.17499999999999999</v>
      </c>
    </row>
    <row r="274" spans="1:6" x14ac:dyDescent="0.25">
      <c r="A274" t="s">
        <v>104</v>
      </c>
      <c r="B274" t="s">
        <v>105</v>
      </c>
      <c r="C274" t="s">
        <v>78</v>
      </c>
      <c r="E274">
        <f t="shared" si="16"/>
        <v>500</v>
      </c>
      <c r="F274" s="5">
        <f t="shared" si="16"/>
        <v>0.25</v>
      </c>
    </row>
    <row r="275" spans="1:6" x14ac:dyDescent="0.25">
      <c r="A275" t="s">
        <v>104</v>
      </c>
      <c r="B275" t="s">
        <v>105</v>
      </c>
      <c r="C275" t="s">
        <v>79</v>
      </c>
      <c r="E275">
        <f t="shared" si="16"/>
        <v>590</v>
      </c>
      <c r="F275" s="5">
        <f t="shared" si="16"/>
        <v>0.29499999999999998</v>
      </c>
    </row>
    <row r="276" spans="1:6" x14ac:dyDescent="0.25">
      <c r="A276" t="s">
        <v>104</v>
      </c>
      <c r="B276" t="s">
        <v>105</v>
      </c>
      <c r="C276" t="s">
        <v>102</v>
      </c>
      <c r="E276">
        <f t="shared" si="16"/>
        <v>1000</v>
      </c>
      <c r="F276" s="5">
        <f t="shared" si="16"/>
        <v>0.5</v>
      </c>
    </row>
    <row r="277" spans="1:6" x14ac:dyDescent="0.25">
      <c r="A277" t="s">
        <v>104</v>
      </c>
      <c r="B277" t="s">
        <v>105</v>
      </c>
      <c r="C277" t="s">
        <v>103</v>
      </c>
      <c r="E277">
        <f t="shared" si="16"/>
        <v>2000</v>
      </c>
      <c r="F277" s="5">
        <f t="shared" si="16"/>
        <v>1</v>
      </c>
    </row>
    <row r="278" spans="1:6" x14ac:dyDescent="0.25">
      <c r="A278" t="s">
        <v>106</v>
      </c>
      <c r="B278" t="s">
        <v>107</v>
      </c>
      <c r="C278">
        <v>0</v>
      </c>
      <c r="E278">
        <f>E270</f>
        <v>0</v>
      </c>
      <c r="F278" s="5">
        <f t="shared" ref="F278:F285" si="17">F270</f>
        <v>0</v>
      </c>
    </row>
    <row r="279" spans="1:6" x14ac:dyDescent="0.25">
      <c r="A279" t="s">
        <v>106</v>
      </c>
      <c r="B279" t="s">
        <v>107</v>
      </c>
      <c r="C279" t="s">
        <v>75</v>
      </c>
      <c r="E279">
        <f t="shared" si="16"/>
        <v>125</v>
      </c>
      <c r="F279" s="5">
        <f t="shared" si="17"/>
        <v>6.25E-2</v>
      </c>
    </row>
    <row r="280" spans="1:6" x14ac:dyDescent="0.25">
      <c r="A280" t="s">
        <v>106</v>
      </c>
      <c r="B280" t="s">
        <v>107</v>
      </c>
      <c r="C280" t="s">
        <v>76</v>
      </c>
      <c r="E280">
        <f t="shared" si="16"/>
        <v>250</v>
      </c>
      <c r="F280" s="5">
        <f t="shared" si="17"/>
        <v>0.125</v>
      </c>
    </row>
    <row r="281" spans="1:6" x14ac:dyDescent="0.25">
      <c r="A281" t="s">
        <v>106</v>
      </c>
      <c r="B281" t="s">
        <v>107</v>
      </c>
      <c r="C281" t="s">
        <v>77</v>
      </c>
      <c r="E281">
        <f t="shared" si="16"/>
        <v>350</v>
      </c>
      <c r="F281" s="5">
        <f t="shared" si="17"/>
        <v>0.17499999999999999</v>
      </c>
    </row>
    <row r="282" spans="1:6" x14ac:dyDescent="0.25">
      <c r="A282" t="s">
        <v>106</v>
      </c>
      <c r="B282" t="s">
        <v>107</v>
      </c>
      <c r="C282" t="s">
        <v>78</v>
      </c>
      <c r="E282">
        <f t="shared" si="16"/>
        <v>500</v>
      </c>
      <c r="F282" s="5">
        <f t="shared" si="17"/>
        <v>0.25</v>
      </c>
    </row>
    <row r="283" spans="1:6" x14ac:dyDescent="0.25">
      <c r="A283" t="s">
        <v>106</v>
      </c>
      <c r="B283" t="s">
        <v>107</v>
      </c>
      <c r="C283" t="s">
        <v>79</v>
      </c>
      <c r="E283">
        <f t="shared" si="16"/>
        <v>590</v>
      </c>
      <c r="F283" s="5">
        <f t="shared" si="17"/>
        <v>0.29499999999999998</v>
      </c>
    </row>
    <row r="284" spans="1:6" x14ac:dyDescent="0.25">
      <c r="A284" t="s">
        <v>106</v>
      </c>
      <c r="B284" t="s">
        <v>107</v>
      </c>
      <c r="C284" t="s">
        <v>102</v>
      </c>
      <c r="E284">
        <f t="shared" si="16"/>
        <v>1000</v>
      </c>
      <c r="F284" s="5">
        <f t="shared" si="17"/>
        <v>0.5</v>
      </c>
    </row>
    <row r="285" spans="1:6" x14ac:dyDescent="0.25">
      <c r="A285" t="s">
        <v>106</v>
      </c>
      <c r="B285" t="s">
        <v>107</v>
      </c>
      <c r="C285" t="s">
        <v>103</v>
      </c>
      <c r="E285">
        <f t="shared" si="16"/>
        <v>2000</v>
      </c>
      <c r="F285" s="5">
        <f t="shared" si="17"/>
        <v>1</v>
      </c>
    </row>
    <row r="286" spans="1:6" s="2" customFormat="1" x14ac:dyDescent="0.25">
      <c r="A286" s="2" t="s">
        <v>108</v>
      </c>
      <c r="B286" s="2" t="s">
        <v>109</v>
      </c>
      <c r="C286" s="2" t="s">
        <v>4</v>
      </c>
      <c r="E286" s="2">
        <v>0</v>
      </c>
      <c r="F286" s="2">
        <f>E286/MAX(E$286:E$290)</f>
        <v>0</v>
      </c>
    </row>
    <row r="287" spans="1:6" s="2" customFormat="1" x14ac:dyDescent="0.25">
      <c r="A287" s="2" t="s">
        <v>108</v>
      </c>
      <c r="B287" s="2" t="s">
        <v>109</v>
      </c>
      <c r="C287" s="2" t="s">
        <v>110</v>
      </c>
      <c r="E287" s="2">
        <f>1.5/30</f>
        <v>0.05</v>
      </c>
      <c r="F287" s="2">
        <f t="shared" ref="F287:F290" si="18">E287/MAX(E$286:E$290)</f>
        <v>0.05</v>
      </c>
    </row>
    <row r="288" spans="1:6" s="2" customFormat="1" x14ac:dyDescent="0.25">
      <c r="A288" s="2" t="s">
        <v>108</v>
      </c>
      <c r="B288" s="2" t="s">
        <v>109</v>
      </c>
      <c r="C288" s="2" t="s">
        <v>111</v>
      </c>
      <c r="E288" s="2">
        <f>1.5/7</f>
        <v>0.21428571428571427</v>
      </c>
      <c r="F288" s="2">
        <f t="shared" si="18"/>
        <v>0.21428571428571427</v>
      </c>
    </row>
    <row r="289" spans="1:6" s="2" customFormat="1" x14ac:dyDescent="0.25">
      <c r="A289" s="2" t="s">
        <v>108</v>
      </c>
      <c r="B289" s="2" t="s">
        <v>109</v>
      </c>
      <c r="C289" s="2" t="s">
        <v>27</v>
      </c>
      <c r="E289" s="2">
        <f>5/7</f>
        <v>0.7142857142857143</v>
      </c>
      <c r="F289" s="2">
        <f t="shared" si="18"/>
        <v>0.7142857142857143</v>
      </c>
    </row>
    <row r="290" spans="1:6" s="2" customFormat="1" x14ac:dyDescent="0.25">
      <c r="A290" s="2" t="s">
        <v>108</v>
      </c>
      <c r="B290" s="2" t="s">
        <v>109</v>
      </c>
      <c r="C290" s="2" t="s">
        <v>60</v>
      </c>
      <c r="E290" s="2">
        <v>1</v>
      </c>
      <c r="F290" s="2">
        <f t="shared" si="18"/>
        <v>1</v>
      </c>
    </row>
    <row r="291" spans="1:6" x14ac:dyDescent="0.25">
      <c r="A291" t="s">
        <v>112</v>
      </c>
      <c r="B291" t="s">
        <v>113</v>
      </c>
      <c r="C291" t="s">
        <v>4</v>
      </c>
      <c r="E291">
        <f>E286</f>
        <v>0</v>
      </c>
      <c r="F291" s="5">
        <f>F286</f>
        <v>0</v>
      </c>
    </row>
    <row r="292" spans="1:6" x14ac:dyDescent="0.25">
      <c r="A292" t="s">
        <v>112</v>
      </c>
      <c r="B292" t="s">
        <v>113</v>
      </c>
      <c r="C292" t="s">
        <v>110</v>
      </c>
      <c r="E292">
        <f t="shared" ref="E292:F335" si="19">E287</f>
        <v>0.05</v>
      </c>
      <c r="F292" s="5">
        <f t="shared" si="19"/>
        <v>0.05</v>
      </c>
    </row>
    <row r="293" spans="1:6" x14ac:dyDescent="0.25">
      <c r="A293" t="s">
        <v>112</v>
      </c>
      <c r="B293" t="s">
        <v>113</v>
      </c>
      <c r="C293" t="s">
        <v>111</v>
      </c>
      <c r="E293">
        <f t="shared" si="19"/>
        <v>0.21428571428571427</v>
      </c>
      <c r="F293" s="5">
        <f t="shared" si="19"/>
        <v>0.21428571428571427</v>
      </c>
    </row>
    <row r="294" spans="1:6" x14ac:dyDescent="0.25">
      <c r="A294" t="s">
        <v>112</v>
      </c>
      <c r="B294" t="s">
        <v>113</v>
      </c>
      <c r="C294" t="s">
        <v>27</v>
      </c>
      <c r="E294">
        <f t="shared" si="19"/>
        <v>0.7142857142857143</v>
      </c>
      <c r="F294" s="5">
        <f t="shared" si="19"/>
        <v>0.7142857142857143</v>
      </c>
    </row>
    <row r="295" spans="1:6" x14ac:dyDescent="0.25">
      <c r="A295" t="s">
        <v>112</v>
      </c>
      <c r="B295" t="s">
        <v>113</v>
      </c>
      <c r="C295" t="s">
        <v>60</v>
      </c>
      <c r="E295">
        <f t="shared" si="19"/>
        <v>1</v>
      </c>
      <c r="F295" s="5">
        <f t="shared" si="19"/>
        <v>1</v>
      </c>
    </row>
    <row r="296" spans="1:6" x14ac:dyDescent="0.25">
      <c r="A296" t="s">
        <v>114</v>
      </c>
      <c r="B296" t="s">
        <v>115</v>
      </c>
      <c r="C296" t="s">
        <v>4</v>
      </c>
      <c r="E296">
        <f>E291</f>
        <v>0</v>
      </c>
      <c r="F296" s="5">
        <f t="shared" ref="F296" si="20">F291</f>
        <v>0</v>
      </c>
    </row>
    <row r="297" spans="1:6" x14ac:dyDescent="0.25">
      <c r="A297" t="s">
        <v>114</v>
      </c>
      <c r="B297" t="s">
        <v>115</v>
      </c>
      <c r="C297" t="s">
        <v>110</v>
      </c>
      <c r="E297">
        <f t="shared" si="19"/>
        <v>0.05</v>
      </c>
      <c r="F297" s="5">
        <f t="shared" ref="F297" si="21">F292</f>
        <v>0.05</v>
      </c>
    </row>
    <row r="298" spans="1:6" x14ac:dyDescent="0.25">
      <c r="A298" t="s">
        <v>114</v>
      </c>
      <c r="B298" t="s">
        <v>115</v>
      </c>
      <c r="C298" t="s">
        <v>111</v>
      </c>
      <c r="E298">
        <f t="shared" si="19"/>
        <v>0.21428571428571427</v>
      </c>
      <c r="F298" s="5">
        <f t="shared" ref="F298" si="22">F293</f>
        <v>0.21428571428571427</v>
      </c>
    </row>
    <row r="299" spans="1:6" x14ac:dyDescent="0.25">
      <c r="A299" t="s">
        <v>114</v>
      </c>
      <c r="B299" t="s">
        <v>115</v>
      </c>
      <c r="C299" t="s">
        <v>27</v>
      </c>
      <c r="E299">
        <f t="shared" si="19"/>
        <v>0.7142857142857143</v>
      </c>
      <c r="F299" s="5">
        <f t="shared" ref="F299" si="23">F294</f>
        <v>0.7142857142857143</v>
      </c>
    </row>
    <row r="300" spans="1:6" x14ac:dyDescent="0.25">
      <c r="A300" t="s">
        <v>114</v>
      </c>
      <c r="B300" t="s">
        <v>115</v>
      </c>
      <c r="C300" t="s">
        <v>60</v>
      </c>
      <c r="E300">
        <f t="shared" si="19"/>
        <v>1</v>
      </c>
      <c r="F300" s="5">
        <f t="shared" ref="F300" si="24">F295</f>
        <v>1</v>
      </c>
    </row>
    <row r="301" spans="1:6" x14ac:dyDescent="0.25">
      <c r="A301" t="s">
        <v>116</v>
      </c>
      <c r="B301" t="s">
        <v>117</v>
      </c>
      <c r="C301" t="s">
        <v>4</v>
      </c>
      <c r="E301">
        <f>E296</f>
        <v>0</v>
      </c>
      <c r="F301" s="5">
        <f t="shared" ref="F301" si="25">F296</f>
        <v>0</v>
      </c>
    </row>
    <row r="302" spans="1:6" x14ac:dyDescent="0.25">
      <c r="A302" t="s">
        <v>116</v>
      </c>
      <c r="B302" t="s">
        <v>117</v>
      </c>
      <c r="C302" t="s">
        <v>110</v>
      </c>
      <c r="E302">
        <f t="shared" si="19"/>
        <v>0.05</v>
      </c>
      <c r="F302" s="5">
        <f t="shared" ref="F302" si="26">F297</f>
        <v>0.05</v>
      </c>
    </row>
    <row r="303" spans="1:6" x14ac:dyDescent="0.25">
      <c r="A303" t="s">
        <v>116</v>
      </c>
      <c r="B303" t="s">
        <v>117</v>
      </c>
      <c r="C303" t="s">
        <v>111</v>
      </c>
      <c r="E303">
        <f t="shared" si="19"/>
        <v>0.21428571428571427</v>
      </c>
      <c r="F303" s="5">
        <f t="shared" ref="F303" si="27">F298</f>
        <v>0.21428571428571427</v>
      </c>
    </row>
    <row r="304" spans="1:6" x14ac:dyDescent="0.25">
      <c r="A304" t="s">
        <v>116</v>
      </c>
      <c r="B304" t="s">
        <v>117</v>
      </c>
      <c r="C304" t="s">
        <v>27</v>
      </c>
      <c r="E304">
        <f t="shared" si="19"/>
        <v>0.7142857142857143</v>
      </c>
      <c r="F304" s="5">
        <f t="shared" ref="F304" si="28">F299</f>
        <v>0.7142857142857143</v>
      </c>
    </row>
    <row r="305" spans="1:6" x14ac:dyDescent="0.25">
      <c r="A305" t="s">
        <v>116</v>
      </c>
      <c r="B305" t="s">
        <v>117</v>
      </c>
      <c r="C305" t="s">
        <v>60</v>
      </c>
      <c r="E305">
        <f t="shared" si="19"/>
        <v>1</v>
      </c>
      <c r="F305" s="5">
        <f t="shared" ref="F305" si="29">F300</f>
        <v>1</v>
      </c>
    </row>
    <row r="306" spans="1:6" x14ac:dyDescent="0.25">
      <c r="A306" t="s">
        <v>118</v>
      </c>
      <c r="B306" t="s">
        <v>119</v>
      </c>
      <c r="C306" t="s">
        <v>4</v>
      </c>
      <c r="E306">
        <f>E301</f>
        <v>0</v>
      </c>
      <c r="F306" s="5">
        <f t="shared" ref="F306" si="30">F301</f>
        <v>0</v>
      </c>
    </row>
    <row r="307" spans="1:6" x14ac:dyDescent="0.25">
      <c r="A307" t="s">
        <v>118</v>
      </c>
      <c r="B307" t="s">
        <v>119</v>
      </c>
      <c r="C307" t="s">
        <v>110</v>
      </c>
      <c r="E307">
        <f t="shared" si="19"/>
        <v>0.05</v>
      </c>
      <c r="F307" s="5">
        <f t="shared" ref="F307" si="31">F302</f>
        <v>0.05</v>
      </c>
    </row>
    <row r="308" spans="1:6" x14ac:dyDescent="0.25">
      <c r="A308" t="s">
        <v>118</v>
      </c>
      <c r="B308" t="s">
        <v>119</v>
      </c>
      <c r="C308" t="s">
        <v>111</v>
      </c>
      <c r="E308">
        <f t="shared" si="19"/>
        <v>0.21428571428571427</v>
      </c>
      <c r="F308" s="5">
        <f t="shared" ref="F308" si="32">F303</f>
        <v>0.21428571428571427</v>
      </c>
    </row>
    <row r="309" spans="1:6" x14ac:dyDescent="0.25">
      <c r="A309" t="s">
        <v>118</v>
      </c>
      <c r="B309" t="s">
        <v>119</v>
      </c>
      <c r="C309" t="s">
        <v>27</v>
      </c>
      <c r="E309">
        <f t="shared" si="19"/>
        <v>0.7142857142857143</v>
      </c>
      <c r="F309" s="5">
        <f t="shared" ref="F309" si="33">F304</f>
        <v>0.7142857142857143</v>
      </c>
    </row>
    <row r="310" spans="1:6" x14ac:dyDescent="0.25">
      <c r="A310" t="s">
        <v>118</v>
      </c>
      <c r="B310" t="s">
        <v>119</v>
      </c>
      <c r="C310" t="s">
        <v>60</v>
      </c>
      <c r="E310">
        <f t="shared" si="19"/>
        <v>1</v>
      </c>
      <c r="F310" s="5">
        <f t="shared" ref="F310" si="34">F305</f>
        <v>1</v>
      </c>
    </row>
    <row r="311" spans="1:6" x14ac:dyDescent="0.25">
      <c r="A311" t="s">
        <v>120</v>
      </c>
      <c r="B311" t="s">
        <v>121</v>
      </c>
      <c r="C311" t="s">
        <v>4</v>
      </c>
      <c r="E311">
        <f>E306</f>
        <v>0</v>
      </c>
      <c r="F311" s="5">
        <f t="shared" ref="F311" si="35">F306</f>
        <v>0</v>
      </c>
    </row>
    <row r="312" spans="1:6" x14ac:dyDescent="0.25">
      <c r="A312" t="s">
        <v>120</v>
      </c>
      <c r="B312" t="s">
        <v>121</v>
      </c>
      <c r="C312" t="s">
        <v>110</v>
      </c>
      <c r="E312">
        <f t="shared" si="19"/>
        <v>0.05</v>
      </c>
      <c r="F312" s="5">
        <f t="shared" ref="F312" si="36">F307</f>
        <v>0.05</v>
      </c>
    </row>
    <row r="313" spans="1:6" x14ac:dyDescent="0.25">
      <c r="A313" t="s">
        <v>120</v>
      </c>
      <c r="B313" t="s">
        <v>121</v>
      </c>
      <c r="C313" t="s">
        <v>111</v>
      </c>
      <c r="E313">
        <f t="shared" si="19"/>
        <v>0.21428571428571427</v>
      </c>
      <c r="F313" s="5">
        <f t="shared" ref="F313" si="37">F308</f>
        <v>0.21428571428571427</v>
      </c>
    </row>
    <row r="314" spans="1:6" x14ac:dyDescent="0.25">
      <c r="A314" t="s">
        <v>120</v>
      </c>
      <c r="B314" t="s">
        <v>121</v>
      </c>
      <c r="C314" t="s">
        <v>27</v>
      </c>
      <c r="E314">
        <f t="shared" si="19"/>
        <v>0.7142857142857143</v>
      </c>
      <c r="F314" s="5">
        <f t="shared" ref="F314" si="38">F309</f>
        <v>0.7142857142857143</v>
      </c>
    </row>
    <row r="315" spans="1:6" x14ac:dyDescent="0.25">
      <c r="A315" t="s">
        <v>120</v>
      </c>
      <c r="B315" t="s">
        <v>121</v>
      </c>
      <c r="C315" t="s">
        <v>60</v>
      </c>
      <c r="E315">
        <f t="shared" si="19"/>
        <v>1</v>
      </c>
      <c r="F315" s="5">
        <f t="shared" ref="F315" si="39">F310</f>
        <v>1</v>
      </c>
    </row>
    <row r="316" spans="1:6" x14ac:dyDescent="0.25">
      <c r="A316" t="s">
        <v>122</v>
      </c>
      <c r="B316" t="s">
        <v>123</v>
      </c>
      <c r="C316" t="s">
        <v>4</v>
      </c>
      <c r="E316">
        <f>E311</f>
        <v>0</v>
      </c>
      <c r="F316" s="5">
        <f t="shared" ref="F316" si="40">F311</f>
        <v>0</v>
      </c>
    </row>
    <row r="317" spans="1:6" x14ac:dyDescent="0.25">
      <c r="A317" t="s">
        <v>122</v>
      </c>
      <c r="B317" t="s">
        <v>123</v>
      </c>
      <c r="C317" t="s">
        <v>110</v>
      </c>
      <c r="E317">
        <f t="shared" si="19"/>
        <v>0.05</v>
      </c>
      <c r="F317" s="5">
        <f t="shared" ref="F317" si="41">F312</f>
        <v>0.05</v>
      </c>
    </row>
    <row r="318" spans="1:6" x14ac:dyDescent="0.25">
      <c r="A318" t="s">
        <v>122</v>
      </c>
      <c r="B318" t="s">
        <v>123</v>
      </c>
      <c r="C318" t="s">
        <v>111</v>
      </c>
      <c r="E318">
        <f t="shared" si="19"/>
        <v>0.21428571428571427</v>
      </c>
      <c r="F318" s="5">
        <f t="shared" ref="F318" si="42">F313</f>
        <v>0.21428571428571427</v>
      </c>
    </row>
    <row r="319" spans="1:6" x14ac:dyDescent="0.25">
      <c r="A319" t="s">
        <v>122</v>
      </c>
      <c r="B319" t="s">
        <v>123</v>
      </c>
      <c r="C319" t="s">
        <v>27</v>
      </c>
      <c r="E319">
        <f t="shared" si="19"/>
        <v>0.7142857142857143</v>
      </c>
      <c r="F319" s="5">
        <f t="shared" ref="F319" si="43">F314</f>
        <v>0.7142857142857143</v>
      </c>
    </row>
    <row r="320" spans="1:6" x14ac:dyDescent="0.25">
      <c r="A320" t="s">
        <v>122</v>
      </c>
      <c r="B320" t="s">
        <v>123</v>
      </c>
      <c r="C320" t="s">
        <v>60</v>
      </c>
      <c r="E320">
        <f t="shared" si="19"/>
        <v>1</v>
      </c>
      <c r="F320" s="5">
        <f t="shared" ref="F320" si="44">F315</f>
        <v>1</v>
      </c>
    </row>
    <row r="321" spans="1:6" x14ac:dyDescent="0.25">
      <c r="A321" t="s">
        <v>124</v>
      </c>
      <c r="B321" t="s">
        <v>125</v>
      </c>
      <c r="C321" t="s">
        <v>4</v>
      </c>
      <c r="E321">
        <f>E316</f>
        <v>0</v>
      </c>
      <c r="F321" s="5">
        <f t="shared" ref="F321" si="45">F316</f>
        <v>0</v>
      </c>
    </row>
    <row r="322" spans="1:6" x14ac:dyDescent="0.25">
      <c r="A322" t="s">
        <v>124</v>
      </c>
      <c r="B322" t="s">
        <v>125</v>
      </c>
      <c r="C322" t="s">
        <v>110</v>
      </c>
      <c r="E322">
        <f t="shared" si="19"/>
        <v>0.05</v>
      </c>
      <c r="F322" s="5">
        <f t="shared" ref="F322" si="46">F317</f>
        <v>0.05</v>
      </c>
    </row>
    <row r="323" spans="1:6" x14ac:dyDescent="0.25">
      <c r="A323" t="s">
        <v>124</v>
      </c>
      <c r="B323" t="s">
        <v>125</v>
      </c>
      <c r="C323" t="s">
        <v>111</v>
      </c>
      <c r="E323">
        <f t="shared" si="19"/>
        <v>0.21428571428571427</v>
      </c>
      <c r="F323" s="5">
        <f t="shared" ref="F323" si="47">F318</f>
        <v>0.21428571428571427</v>
      </c>
    </row>
    <row r="324" spans="1:6" x14ac:dyDescent="0.25">
      <c r="A324" t="s">
        <v>124</v>
      </c>
      <c r="B324" t="s">
        <v>125</v>
      </c>
      <c r="C324" t="s">
        <v>27</v>
      </c>
      <c r="E324">
        <f t="shared" si="19"/>
        <v>0.7142857142857143</v>
      </c>
      <c r="F324" s="5">
        <f t="shared" ref="F324" si="48">F319</f>
        <v>0.7142857142857143</v>
      </c>
    </row>
    <row r="325" spans="1:6" x14ac:dyDescent="0.25">
      <c r="A325" t="s">
        <v>124</v>
      </c>
      <c r="B325" t="s">
        <v>125</v>
      </c>
      <c r="C325" t="s">
        <v>60</v>
      </c>
      <c r="E325">
        <f t="shared" si="19"/>
        <v>1</v>
      </c>
      <c r="F325" s="5">
        <f t="shared" ref="F325" si="49">F320</f>
        <v>1</v>
      </c>
    </row>
    <row r="326" spans="1:6" x14ac:dyDescent="0.25">
      <c r="A326" t="s">
        <v>126</v>
      </c>
      <c r="B326" t="s">
        <v>127</v>
      </c>
      <c r="C326" t="s">
        <v>4</v>
      </c>
      <c r="E326">
        <f>E321</f>
        <v>0</v>
      </c>
      <c r="F326" s="5">
        <f t="shared" ref="F326" si="50">F321</f>
        <v>0</v>
      </c>
    </row>
    <row r="327" spans="1:6" x14ac:dyDescent="0.25">
      <c r="A327" t="s">
        <v>126</v>
      </c>
      <c r="B327" t="s">
        <v>127</v>
      </c>
      <c r="C327" t="s">
        <v>110</v>
      </c>
      <c r="E327">
        <f t="shared" si="19"/>
        <v>0.05</v>
      </c>
      <c r="F327" s="5">
        <f t="shared" ref="F327" si="51">F322</f>
        <v>0.05</v>
      </c>
    </row>
    <row r="328" spans="1:6" x14ac:dyDescent="0.25">
      <c r="A328" t="s">
        <v>126</v>
      </c>
      <c r="B328" t="s">
        <v>127</v>
      </c>
      <c r="C328" t="s">
        <v>111</v>
      </c>
      <c r="E328">
        <f t="shared" si="19"/>
        <v>0.21428571428571427</v>
      </c>
      <c r="F328" s="5">
        <f t="shared" ref="F328" si="52">F323</f>
        <v>0.21428571428571427</v>
      </c>
    </row>
    <row r="329" spans="1:6" x14ac:dyDescent="0.25">
      <c r="A329" t="s">
        <v>126</v>
      </c>
      <c r="B329" t="s">
        <v>127</v>
      </c>
      <c r="C329" t="s">
        <v>27</v>
      </c>
      <c r="E329">
        <f t="shared" si="19"/>
        <v>0.7142857142857143</v>
      </c>
      <c r="F329" s="5">
        <f t="shared" ref="F329" si="53">F324</f>
        <v>0.7142857142857143</v>
      </c>
    </row>
    <row r="330" spans="1:6" x14ac:dyDescent="0.25">
      <c r="A330" t="s">
        <v>126</v>
      </c>
      <c r="B330" t="s">
        <v>127</v>
      </c>
      <c r="C330" t="s">
        <v>60</v>
      </c>
      <c r="E330">
        <f t="shared" si="19"/>
        <v>1</v>
      </c>
      <c r="F330" s="5">
        <f t="shared" ref="F330" si="54">F325</f>
        <v>1</v>
      </c>
    </row>
    <row r="331" spans="1:6" x14ac:dyDescent="0.25">
      <c r="A331" t="s">
        <v>128</v>
      </c>
      <c r="B331" t="s">
        <v>129</v>
      </c>
      <c r="C331" t="s">
        <v>4</v>
      </c>
      <c r="E331">
        <f>E326</f>
        <v>0</v>
      </c>
      <c r="F331" s="5">
        <f t="shared" ref="F331" si="55">F326</f>
        <v>0</v>
      </c>
    </row>
    <row r="332" spans="1:6" x14ac:dyDescent="0.25">
      <c r="A332" t="s">
        <v>128</v>
      </c>
      <c r="B332" t="s">
        <v>129</v>
      </c>
      <c r="C332" t="s">
        <v>110</v>
      </c>
      <c r="E332">
        <f t="shared" si="19"/>
        <v>0.05</v>
      </c>
      <c r="F332" s="5">
        <f t="shared" ref="F332" si="56">F327</f>
        <v>0.05</v>
      </c>
    </row>
    <row r="333" spans="1:6" x14ac:dyDescent="0.25">
      <c r="A333" t="s">
        <v>128</v>
      </c>
      <c r="B333" t="s">
        <v>129</v>
      </c>
      <c r="C333" t="s">
        <v>111</v>
      </c>
      <c r="E333">
        <f t="shared" si="19"/>
        <v>0.21428571428571427</v>
      </c>
      <c r="F333" s="5">
        <f t="shared" ref="F333" si="57">F328</f>
        <v>0.21428571428571427</v>
      </c>
    </row>
    <row r="334" spans="1:6" x14ac:dyDescent="0.25">
      <c r="A334" t="s">
        <v>128</v>
      </c>
      <c r="B334" t="s">
        <v>129</v>
      </c>
      <c r="C334" t="s">
        <v>27</v>
      </c>
      <c r="E334">
        <f t="shared" si="19"/>
        <v>0.7142857142857143</v>
      </c>
      <c r="F334" s="5">
        <f t="shared" ref="F334" si="58">F329</f>
        <v>0.7142857142857143</v>
      </c>
    </row>
    <row r="335" spans="1:6" x14ac:dyDescent="0.25">
      <c r="A335" t="s">
        <v>128</v>
      </c>
      <c r="B335" t="s">
        <v>129</v>
      </c>
      <c r="C335" t="s">
        <v>60</v>
      </c>
      <c r="E335">
        <f t="shared" si="19"/>
        <v>1</v>
      </c>
      <c r="F335" s="5">
        <f t="shared" si="19"/>
        <v>1</v>
      </c>
    </row>
    <row r="336" spans="1:6" s="2" customFormat="1" x14ac:dyDescent="0.25">
      <c r="A336" s="2" t="s">
        <v>130</v>
      </c>
      <c r="B336" s="2" t="s">
        <v>131</v>
      </c>
      <c r="C336" s="2" t="s">
        <v>132</v>
      </c>
      <c r="E336" s="2">
        <v>1</v>
      </c>
      <c r="F336" s="2">
        <f>E336/MAX(E$336:E$340)</f>
        <v>1</v>
      </c>
    </row>
    <row r="337" spans="1:6" s="2" customFormat="1" x14ac:dyDescent="0.25">
      <c r="A337" s="2" t="s">
        <v>130</v>
      </c>
      <c r="B337" s="2" t="s">
        <v>131</v>
      </c>
      <c r="C337" s="2" t="s">
        <v>133</v>
      </c>
      <c r="E337" s="2">
        <v>0.5</v>
      </c>
      <c r="F337" s="2">
        <f t="shared" ref="F337:F340" si="59">E337/MAX(E$336:E$340)</f>
        <v>0.5</v>
      </c>
    </row>
    <row r="338" spans="1:6" s="2" customFormat="1" x14ac:dyDescent="0.25">
      <c r="A338" s="2" t="s">
        <v>130</v>
      </c>
      <c r="B338" s="2" t="s">
        <v>131</v>
      </c>
      <c r="C338" s="2" t="s">
        <v>134</v>
      </c>
      <c r="E338" s="2">
        <v>0.25</v>
      </c>
      <c r="F338" s="2">
        <f t="shared" si="59"/>
        <v>0.25</v>
      </c>
    </row>
    <row r="339" spans="1:6" s="2" customFormat="1" x14ac:dyDescent="0.25">
      <c r="A339" s="2" t="s">
        <v>130</v>
      </c>
      <c r="B339" s="2" t="s">
        <v>131</v>
      </c>
      <c r="C339" s="2" t="s">
        <v>135</v>
      </c>
      <c r="E339" s="2">
        <v>0.05</v>
      </c>
      <c r="F339" s="2">
        <f t="shared" si="59"/>
        <v>0.05</v>
      </c>
    </row>
    <row r="340" spans="1:6" s="2" customFormat="1" x14ac:dyDescent="0.25">
      <c r="A340" s="2" t="s">
        <v>130</v>
      </c>
      <c r="B340" s="2" t="s">
        <v>131</v>
      </c>
      <c r="C340" s="2" t="s">
        <v>136</v>
      </c>
      <c r="E340" s="2">
        <v>0</v>
      </c>
      <c r="F340" s="2">
        <f t="shared" si="59"/>
        <v>0</v>
      </c>
    </row>
    <row r="341" spans="1:6" s="2" customFormat="1" x14ac:dyDescent="0.25">
      <c r="A341" s="2" t="s">
        <v>137</v>
      </c>
      <c r="B341" s="2" t="s">
        <v>138</v>
      </c>
      <c r="C341" s="6" t="s">
        <v>409</v>
      </c>
      <c r="E341" s="2">
        <v>0</v>
      </c>
      <c r="F341" s="2">
        <f>E341/MAX(E$341:E$345)</f>
        <v>0</v>
      </c>
    </row>
    <row r="342" spans="1:6" s="2" customFormat="1" x14ac:dyDescent="0.25">
      <c r="A342" s="2" t="s">
        <v>137</v>
      </c>
      <c r="B342" s="2" t="s">
        <v>138</v>
      </c>
      <c r="C342" s="2" t="s">
        <v>139</v>
      </c>
      <c r="E342" s="2">
        <v>25</v>
      </c>
      <c r="F342" s="2">
        <f t="shared" ref="F342:F345" si="60">E342/MAX(E$341:E$345)</f>
        <v>0.25</v>
      </c>
    </row>
    <row r="343" spans="1:6" s="2" customFormat="1" x14ac:dyDescent="0.25">
      <c r="A343" s="2" t="s">
        <v>137</v>
      </c>
      <c r="B343" s="2" t="s">
        <v>138</v>
      </c>
      <c r="C343" s="2" t="s">
        <v>140</v>
      </c>
      <c r="E343" s="2">
        <v>50</v>
      </c>
      <c r="F343" s="2">
        <f t="shared" si="60"/>
        <v>0.5</v>
      </c>
    </row>
    <row r="344" spans="1:6" s="2" customFormat="1" x14ac:dyDescent="0.25">
      <c r="A344" s="2" t="s">
        <v>137</v>
      </c>
      <c r="B344" s="2" t="s">
        <v>138</v>
      </c>
      <c r="C344" s="2" t="s">
        <v>141</v>
      </c>
      <c r="E344" s="2">
        <v>75</v>
      </c>
      <c r="F344" s="2">
        <f t="shared" si="60"/>
        <v>0.75</v>
      </c>
    </row>
    <row r="345" spans="1:6" s="2" customFormat="1" x14ac:dyDescent="0.25">
      <c r="A345" s="2" t="s">
        <v>137</v>
      </c>
      <c r="B345" s="2" t="s">
        <v>138</v>
      </c>
      <c r="C345" s="6" t="s">
        <v>410</v>
      </c>
      <c r="E345" s="2">
        <v>100</v>
      </c>
      <c r="F345" s="2">
        <f t="shared" si="60"/>
        <v>1</v>
      </c>
    </row>
    <row r="346" spans="1:6" x14ac:dyDescent="0.25">
      <c r="A346" t="s">
        <v>142</v>
      </c>
      <c r="B346" t="s">
        <v>143</v>
      </c>
      <c r="C346" s="7" t="s">
        <v>409</v>
      </c>
      <c r="E346">
        <f>E341</f>
        <v>0</v>
      </c>
      <c r="F346" s="5">
        <f>F341</f>
        <v>0</v>
      </c>
    </row>
    <row r="347" spans="1:6" x14ac:dyDescent="0.25">
      <c r="A347" t="s">
        <v>142</v>
      </c>
      <c r="B347" t="s">
        <v>143</v>
      </c>
      <c r="C347" t="s">
        <v>139</v>
      </c>
      <c r="E347">
        <f t="shared" ref="E347:F360" si="61">E342</f>
        <v>25</v>
      </c>
      <c r="F347" s="5">
        <f t="shared" si="61"/>
        <v>0.25</v>
      </c>
    </row>
    <row r="348" spans="1:6" x14ac:dyDescent="0.25">
      <c r="A348" t="s">
        <v>142</v>
      </c>
      <c r="B348" t="s">
        <v>143</v>
      </c>
      <c r="C348" t="s">
        <v>140</v>
      </c>
      <c r="E348">
        <f t="shared" si="61"/>
        <v>50</v>
      </c>
      <c r="F348" s="5">
        <f t="shared" si="61"/>
        <v>0.5</v>
      </c>
    </row>
    <row r="349" spans="1:6" x14ac:dyDescent="0.25">
      <c r="A349" t="s">
        <v>142</v>
      </c>
      <c r="B349" t="s">
        <v>143</v>
      </c>
      <c r="C349" t="s">
        <v>141</v>
      </c>
      <c r="E349">
        <f t="shared" si="61"/>
        <v>75</v>
      </c>
      <c r="F349" s="5">
        <f t="shared" si="61"/>
        <v>0.75</v>
      </c>
    </row>
    <row r="350" spans="1:6" x14ac:dyDescent="0.25">
      <c r="A350" t="s">
        <v>142</v>
      </c>
      <c r="B350" t="s">
        <v>143</v>
      </c>
      <c r="C350" s="7" t="s">
        <v>410</v>
      </c>
      <c r="E350">
        <f t="shared" si="61"/>
        <v>100</v>
      </c>
      <c r="F350" s="5">
        <f t="shared" si="61"/>
        <v>1</v>
      </c>
    </row>
    <row r="351" spans="1:6" x14ac:dyDescent="0.25">
      <c r="A351" t="s">
        <v>144</v>
      </c>
      <c r="B351" t="s">
        <v>145</v>
      </c>
      <c r="C351" s="7" t="s">
        <v>409</v>
      </c>
      <c r="E351">
        <f>E346</f>
        <v>0</v>
      </c>
      <c r="F351" s="5">
        <f t="shared" ref="F351:F360" si="62">F346</f>
        <v>0</v>
      </c>
    </row>
    <row r="352" spans="1:6" x14ac:dyDescent="0.25">
      <c r="A352" t="s">
        <v>144</v>
      </c>
      <c r="B352" t="s">
        <v>145</v>
      </c>
      <c r="C352" t="s">
        <v>139</v>
      </c>
      <c r="E352">
        <f t="shared" si="61"/>
        <v>25</v>
      </c>
      <c r="F352" s="5">
        <f t="shared" si="62"/>
        <v>0.25</v>
      </c>
    </row>
    <row r="353" spans="1:6" x14ac:dyDescent="0.25">
      <c r="A353" t="s">
        <v>144</v>
      </c>
      <c r="B353" t="s">
        <v>145</v>
      </c>
      <c r="C353" t="s">
        <v>140</v>
      </c>
      <c r="E353">
        <f t="shared" si="61"/>
        <v>50</v>
      </c>
      <c r="F353" s="5">
        <f t="shared" si="62"/>
        <v>0.5</v>
      </c>
    </row>
    <row r="354" spans="1:6" x14ac:dyDescent="0.25">
      <c r="A354" t="s">
        <v>144</v>
      </c>
      <c r="B354" t="s">
        <v>145</v>
      </c>
      <c r="C354" t="s">
        <v>141</v>
      </c>
      <c r="E354">
        <f t="shared" si="61"/>
        <v>75</v>
      </c>
      <c r="F354" s="5">
        <f t="shared" si="62"/>
        <v>0.75</v>
      </c>
    </row>
    <row r="355" spans="1:6" x14ac:dyDescent="0.25">
      <c r="A355" t="s">
        <v>144</v>
      </c>
      <c r="B355" t="s">
        <v>145</v>
      </c>
      <c r="C355" s="7" t="s">
        <v>410</v>
      </c>
      <c r="E355">
        <f t="shared" si="61"/>
        <v>100</v>
      </c>
      <c r="F355" s="5">
        <f t="shared" si="62"/>
        <v>1</v>
      </c>
    </row>
    <row r="356" spans="1:6" x14ac:dyDescent="0.25">
      <c r="A356" t="s">
        <v>146</v>
      </c>
      <c r="B356" t="s">
        <v>147</v>
      </c>
      <c r="C356" s="7" t="s">
        <v>409</v>
      </c>
      <c r="E356">
        <f>E351</f>
        <v>0</v>
      </c>
      <c r="F356" s="5">
        <f t="shared" si="62"/>
        <v>0</v>
      </c>
    </row>
    <row r="357" spans="1:6" x14ac:dyDescent="0.25">
      <c r="A357" t="s">
        <v>146</v>
      </c>
      <c r="B357" t="s">
        <v>147</v>
      </c>
      <c r="C357" t="s">
        <v>139</v>
      </c>
      <c r="E357">
        <f t="shared" si="61"/>
        <v>25</v>
      </c>
      <c r="F357" s="5">
        <f t="shared" si="62"/>
        <v>0.25</v>
      </c>
    </row>
    <row r="358" spans="1:6" x14ac:dyDescent="0.25">
      <c r="A358" t="s">
        <v>146</v>
      </c>
      <c r="B358" t="s">
        <v>147</v>
      </c>
      <c r="C358" t="s">
        <v>140</v>
      </c>
      <c r="E358">
        <f t="shared" si="61"/>
        <v>50</v>
      </c>
      <c r="F358" s="5">
        <f t="shared" si="62"/>
        <v>0.5</v>
      </c>
    </row>
    <row r="359" spans="1:6" x14ac:dyDescent="0.25">
      <c r="A359" t="s">
        <v>146</v>
      </c>
      <c r="B359" t="s">
        <v>147</v>
      </c>
      <c r="C359" t="s">
        <v>141</v>
      </c>
      <c r="E359">
        <f t="shared" si="61"/>
        <v>75</v>
      </c>
      <c r="F359" s="5">
        <f t="shared" si="62"/>
        <v>0.75</v>
      </c>
    </row>
    <row r="360" spans="1:6" x14ac:dyDescent="0.25">
      <c r="A360" t="s">
        <v>146</v>
      </c>
      <c r="B360" t="s">
        <v>147</v>
      </c>
      <c r="C360" s="7" t="s">
        <v>410</v>
      </c>
      <c r="E360">
        <f t="shared" si="61"/>
        <v>100</v>
      </c>
      <c r="F360" s="5">
        <f t="shared" si="62"/>
        <v>1</v>
      </c>
    </row>
    <row r="361" spans="1:6" s="2" customFormat="1" x14ac:dyDescent="0.25">
      <c r="A361" s="1" t="s">
        <v>148</v>
      </c>
      <c r="B361" s="2" t="s">
        <v>149</v>
      </c>
      <c r="C361" s="2" t="s">
        <v>4</v>
      </c>
      <c r="E361" s="2">
        <v>0</v>
      </c>
      <c r="F361" s="2">
        <f>E361/MAX(E$361:E$366)</f>
        <v>0</v>
      </c>
    </row>
    <row r="362" spans="1:6" s="2" customFormat="1" x14ac:dyDescent="0.25">
      <c r="A362" s="1" t="s">
        <v>148</v>
      </c>
      <c r="B362" s="2" t="s">
        <v>149</v>
      </c>
      <c r="C362" s="2" t="s">
        <v>150</v>
      </c>
      <c r="E362" s="2">
        <f>1.5/7</f>
        <v>0.21428571428571427</v>
      </c>
      <c r="F362" s="2">
        <f t="shared" ref="F362:F366" si="63">E362/MAX(E$361:E$366)</f>
        <v>0.21428571428571427</v>
      </c>
    </row>
    <row r="363" spans="1:6" s="2" customFormat="1" x14ac:dyDescent="0.25">
      <c r="A363" s="1" t="s">
        <v>148</v>
      </c>
      <c r="B363" s="2" t="s">
        <v>149</v>
      </c>
      <c r="C363" s="2" t="s">
        <v>151</v>
      </c>
      <c r="E363" s="2">
        <f>3/7</f>
        <v>0.42857142857142855</v>
      </c>
      <c r="F363" s="2">
        <f t="shared" si="63"/>
        <v>0.42857142857142855</v>
      </c>
    </row>
    <row r="364" spans="1:6" s="2" customFormat="1" x14ac:dyDescent="0.25">
      <c r="A364" s="1" t="s">
        <v>148</v>
      </c>
      <c r="B364" s="2" t="s">
        <v>149</v>
      </c>
      <c r="C364" s="2" t="s">
        <v>152</v>
      </c>
      <c r="E364" s="2">
        <v>0.9</v>
      </c>
      <c r="F364" s="2">
        <f t="shared" si="63"/>
        <v>0.9</v>
      </c>
    </row>
    <row r="365" spans="1:6" s="2" customFormat="1" x14ac:dyDescent="0.25">
      <c r="A365" s="1" t="s">
        <v>148</v>
      </c>
      <c r="B365" s="2" t="s">
        <v>149</v>
      </c>
      <c r="C365" s="2" t="s">
        <v>153</v>
      </c>
      <c r="E365" s="2">
        <v>1</v>
      </c>
      <c r="F365" s="2">
        <f t="shared" si="63"/>
        <v>1</v>
      </c>
    </row>
    <row r="366" spans="1:6" s="2" customFormat="1" x14ac:dyDescent="0.25">
      <c r="A366" s="1" t="s">
        <v>148</v>
      </c>
      <c r="B366" s="2" t="s">
        <v>149</v>
      </c>
      <c r="C366" s="2" t="s">
        <v>154</v>
      </c>
      <c r="E366" s="2">
        <v>0.5</v>
      </c>
      <c r="F366" s="2">
        <f t="shared" si="63"/>
        <v>0.5</v>
      </c>
    </row>
    <row r="367" spans="1:6" x14ac:dyDescent="0.25">
      <c r="A367" t="s">
        <v>155</v>
      </c>
      <c r="B367" t="s">
        <v>156</v>
      </c>
      <c r="C367" t="s">
        <v>4</v>
      </c>
      <c r="E367">
        <f>E361</f>
        <v>0</v>
      </c>
      <c r="F367" s="5">
        <f>F361</f>
        <v>0</v>
      </c>
    </row>
    <row r="368" spans="1:6" x14ac:dyDescent="0.25">
      <c r="A368" t="s">
        <v>155</v>
      </c>
      <c r="B368" t="s">
        <v>156</v>
      </c>
      <c r="C368" t="s">
        <v>150</v>
      </c>
      <c r="E368">
        <f t="shared" ref="E368:F378" si="64">E362</f>
        <v>0.21428571428571427</v>
      </c>
      <c r="F368" s="5">
        <f t="shared" si="64"/>
        <v>0.21428571428571427</v>
      </c>
    </row>
    <row r="369" spans="1:6" x14ac:dyDescent="0.25">
      <c r="A369" t="s">
        <v>155</v>
      </c>
      <c r="B369" t="s">
        <v>156</v>
      </c>
      <c r="C369" t="s">
        <v>151</v>
      </c>
      <c r="E369">
        <f t="shared" si="64"/>
        <v>0.42857142857142855</v>
      </c>
      <c r="F369" s="5">
        <f t="shared" si="64"/>
        <v>0.42857142857142855</v>
      </c>
    </row>
    <row r="370" spans="1:6" x14ac:dyDescent="0.25">
      <c r="A370" t="s">
        <v>155</v>
      </c>
      <c r="B370" t="s">
        <v>156</v>
      </c>
      <c r="C370" t="s">
        <v>152</v>
      </c>
      <c r="E370">
        <f t="shared" si="64"/>
        <v>0.9</v>
      </c>
      <c r="F370" s="5">
        <f t="shared" si="64"/>
        <v>0.9</v>
      </c>
    </row>
    <row r="371" spans="1:6" x14ac:dyDescent="0.25">
      <c r="A371" t="s">
        <v>155</v>
      </c>
      <c r="B371" t="s">
        <v>156</v>
      </c>
      <c r="C371" t="s">
        <v>153</v>
      </c>
      <c r="E371">
        <f t="shared" si="64"/>
        <v>1</v>
      </c>
      <c r="F371" s="5">
        <f t="shared" si="64"/>
        <v>1</v>
      </c>
    </row>
    <row r="372" spans="1:6" x14ac:dyDescent="0.25">
      <c r="A372" t="s">
        <v>155</v>
      </c>
      <c r="B372" t="s">
        <v>156</v>
      </c>
      <c r="C372" t="s">
        <v>154</v>
      </c>
      <c r="E372">
        <f t="shared" si="64"/>
        <v>0.5</v>
      </c>
      <c r="F372" s="5">
        <f t="shared" si="64"/>
        <v>0.5</v>
      </c>
    </row>
    <row r="373" spans="1:6" x14ac:dyDescent="0.25">
      <c r="A373" t="s">
        <v>157</v>
      </c>
      <c r="B373" t="s">
        <v>158</v>
      </c>
      <c r="C373" t="s">
        <v>4</v>
      </c>
      <c r="E373">
        <f>E367</f>
        <v>0</v>
      </c>
      <c r="F373" s="5">
        <f t="shared" ref="F373:F378" si="65">F367</f>
        <v>0</v>
      </c>
    </row>
    <row r="374" spans="1:6" x14ac:dyDescent="0.25">
      <c r="A374" t="s">
        <v>157</v>
      </c>
      <c r="B374" t="s">
        <v>158</v>
      </c>
      <c r="C374" t="s">
        <v>150</v>
      </c>
      <c r="E374">
        <f t="shared" si="64"/>
        <v>0.21428571428571427</v>
      </c>
      <c r="F374" s="5">
        <f t="shared" si="65"/>
        <v>0.21428571428571427</v>
      </c>
    </row>
    <row r="375" spans="1:6" x14ac:dyDescent="0.25">
      <c r="A375" t="s">
        <v>157</v>
      </c>
      <c r="B375" t="s">
        <v>158</v>
      </c>
      <c r="C375" t="s">
        <v>151</v>
      </c>
      <c r="E375">
        <f t="shared" si="64"/>
        <v>0.42857142857142855</v>
      </c>
      <c r="F375" s="5">
        <f t="shared" si="65"/>
        <v>0.42857142857142855</v>
      </c>
    </row>
    <row r="376" spans="1:6" x14ac:dyDescent="0.25">
      <c r="A376" t="s">
        <v>157</v>
      </c>
      <c r="B376" t="s">
        <v>158</v>
      </c>
      <c r="C376" t="s">
        <v>152</v>
      </c>
      <c r="E376">
        <f t="shared" si="64"/>
        <v>0.9</v>
      </c>
      <c r="F376" s="5">
        <f t="shared" si="65"/>
        <v>0.9</v>
      </c>
    </row>
    <row r="377" spans="1:6" x14ac:dyDescent="0.25">
      <c r="A377" t="s">
        <v>157</v>
      </c>
      <c r="B377" t="s">
        <v>158</v>
      </c>
      <c r="C377" t="s">
        <v>153</v>
      </c>
      <c r="E377">
        <f t="shared" si="64"/>
        <v>1</v>
      </c>
      <c r="F377" s="5">
        <f t="shared" si="65"/>
        <v>1</v>
      </c>
    </row>
    <row r="378" spans="1:6" x14ac:dyDescent="0.25">
      <c r="A378" t="s">
        <v>157</v>
      </c>
      <c r="B378" t="s">
        <v>158</v>
      </c>
      <c r="C378" t="s">
        <v>154</v>
      </c>
      <c r="E378" s="5">
        <f t="shared" si="64"/>
        <v>0.5</v>
      </c>
      <c r="F378" s="5">
        <f t="shared" si="65"/>
        <v>0.5</v>
      </c>
    </row>
    <row r="379" spans="1:6" s="2" customFormat="1" x14ac:dyDescent="0.25">
      <c r="A379" s="2" t="s">
        <v>159</v>
      </c>
      <c r="B379" s="2" t="s">
        <v>160</v>
      </c>
      <c r="C379" s="2" t="s">
        <v>4</v>
      </c>
      <c r="E379" s="2">
        <v>0</v>
      </c>
      <c r="F379" s="2">
        <f>E379/MAX(E$379:E$383)</f>
        <v>0</v>
      </c>
    </row>
    <row r="380" spans="1:6" s="2" customFormat="1" x14ac:dyDescent="0.25">
      <c r="A380" s="2" t="s">
        <v>159</v>
      </c>
      <c r="B380" s="2" t="s">
        <v>160</v>
      </c>
      <c r="C380" s="2" t="s">
        <v>161</v>
      </c>
      <c r="E380" s="2">
        <f>1.5/7</f>
        <v>0.21428571428571427</v>
      </c>
      <c r="F380" s="2">
        <f t="shared" ref="F380:F383" si="66">E380/MAX(E$379:E$383)</f>
        <v>7.1428571428571425E-2</v>
      </c>
    </row>
    <row r="381" spans="1:6" s="2" customFormat="1" x14ac:dyDescent="0.25">
      <c r="A381" s="2" t="s">
        <v>159</v>
      </c>
      <c r="B381" s="2" t="s">
        <v>160</v>
      </c>
      <c r="C381" s="2" t="s">
        <v>162</v>
      </c>
      <c r="E381" s="2">
        <f>3/7</f>
        <v>0.42857142857142855</v>
      </c>
      <c r="F381" s="2">
        <f t="shared" si="66"/>
        <v>0.14285714285714285</v>
      </c>
    </row>
    <row r="382" spans="1:6" s="2" customFormat="1" x14ac:dyDescent="0.25">
      <c r="A382" s="2" t="s">
        <v>159</v>
      </c>
      <c r="B382" s="2" t="s">
        <v>160</v>
      </c>
      <c r="C382" s="2" t="s">
        <v>163</v>
      </c>
      <c r="E382" s="2">
        <v>1</v>
      </c>
      <c r="F382" s="2">
        <f t="shared" si="66"/>
        <v>0.33333333333333331</v>
      </c>
    </row>
    <row r="383" spans="1:6" s="2" customFormat="1" x14ac:dyDescent="0.25">
      <c r="A383" s="2" t="s">
        <v>159</v>
      </c>
      <c r="B383" s="2" t="s">
        <v>160</v>
      </c>
      <c r="C383" s="2" t="s">
        <v>164</v>
      </c>
      <c r="E383" s="2">
        <v>3</v>
      </c>
      <c r="F383" s="2">
        <f t="shared" si="66"/>
        <v>1</v>
      </c>
    </row>
    <row r="384" spans="1:6" x14ac:dyDescent="0.25">
      <c r="A384" t="s">
        <v>165</v>
      </c>
      <c r="B384" t="s">
        <v>166</v>
      </c>
      <c r="C384" t="s">
        <v>4</v>
      </c>
      <c r="E384">
        <f>E379</f>
        <v>0</v>
      </c>
      <c r="F384" s="5">
        <f>F379</f>
        <v>0</v>
      </c>
    </row>
    <row r="385" spans="1:6" x14ac:dyDescent="0.25">
      <c r="A385" t="s">
        <v>165</v>
      </c>
      <c r="B385" t="s">
        <v>166</v>
      </c>
      <c r="C385" t="s">
        <v>161</v>
      </c>
      <c r="E385">
        <f t="shared" ref="E385:F398" si="67">E380</f>
        <v>0.21428571428571427</v>
      </c>
      <c r="F385" s="5">
        <f t="shared" si="67"/>
        <v>7.1428571428571425E-2</v>
      </c>
    </row>
    <row r="386" spans="1:6" x14ac:dyDescent="0.25">
      <c r="A386" t="s">
        <v>165</v>
      </c>
      <c r="B386" t="s">
        <v>166</v>
      </c>
      <c r="C386" t="s">
        <v>162</v>
      </c>
      <c r="E386">
        <f t="shared" si="67"/>
        <v>0.42857142857142855</v>
      </c>
      <c r="F386" s="5">
        <f t="shared" si="67"/>
        <v>0.14285714285714285</v>
      </c>
    </row>
    <row r="387" spans="1:6" x14ac:dyDescent="0.25">
      <c r="A387" t="s">
        <v>165</v>
      </c>
      <c r="B387" t="s">
        <v>166</v>
      </c>
      <c r="C387" t="s">
        <v>163</v>
      </c>
      <c r="E387">
        <f t="shared" si="67"/>
        <v>1</v>
      </c>
      <c r="F387" s="5">
        <f t="shared" si="67"/>
        <v>0.33333333333333331</v>
      </c>
    </row>
    <row r="388" spans="1:6" x14ac:dyDescent="0.25">
      <c r="A388" t="s">
        <v>165</v>
      </c>
      <c r="B388" t="s">
        <v>166</v>
      </c>
      <c r="C388" t="s">
        <v>164</v>
      </c>
      <c r="E388">
        <f t="shared" si="67"/>
        <v>3</v>
      </c>
      <c r="F388" s="5">
        <f t="shared" si="67"/>
        <v>1</v>
      </c>
    </row>
    <row r="389" spans="1:6" x14ac:dyDescent="0.25">
      <c r="A389" t="s">
        <v>167</v>
      </c>
      <c r="B389" t="s">
        <v>168</v>
      </c>
      <c r="C389" t="s">
        <v>4</v>
      </c>
      <c r="E389">
        <f t="shared" si="67"/>
        <v>0</v>
      </c>
      <c r="F389" s="5">
        <f t="shared" si="67"/>
        <v>0</v>
      </c>
    </row>
    <row r="390" spans="1:6" x14ac:dyDescent="0.25">
      <c r="A390" t="s">
        <v>167</v>
      </c>
      <c r="B390" t="s">
        <v>168</v>
      </c>
      <c r="C390" t="s">
        <v>161</v>
      </c>
      <c r="E390">
        <f t="shared" si="67"/>
        <v>0.21428571428571427</v>
      </c>
      <c r="F390" s="5">
        <f t="shared" si="67"/>
        <v>7.1428571428571425E-2</v>
      </c>
    </row>
    <row r="391" spans="1:6" x14ac:dyDescent="0.25">
      <c r="A391" t="s">
        <v>167</v>
      </c>
      <c r="B391" t="s">
        <v>168</v>
      </c>
      <c r="C391" t="s">
        <v>162</v>
      </c>
      <c r="E391">
        <f t="shared" si="67"/>
        <v>0.42857142857142855</v>
      </c>
      <c r="F391" s="5">
        <f t="shared" si="67"/>
        <v>0.14285714285714285</v>
      </c>
    </row>
    <row r="392" spans="1:6" x14ac:dyDescent="0.25">
      <c r="A392" t="s">
        <v>167</v>
      </c>
      <c r="B392" t="s">
        <v>168</v>
      </c>
      <c r="C392" t="s">
        <v>163</v>
      </c>
      <c r="E392">
        <f t="shared" si="67"/>
        <v>1</v>
      </c>
      <c r="F392" s="5">
        <f t="shared" si="67"/>
        <v>0.33333333333333331</v>
      </c>
    </row>
    <row r="393" spans="1:6" x14ac:dyDescent="0.25">
      <c r="A393" t="s">
        <v>167</v>
      </c>
      <c r="B393" t="s">
        <v>168</v>
      </c>
      <c r="C393" t="s">
        <v>164</v>
      </c>
      <c r="E393">
        <f t="shared" si="67"/>
        <v>3</v>
      </c>
      <c r="F393" s="5">
        <f t="shared" si="67"/>
        <v>1</v>
      </c>
    </row>
    <row r="394" spans="1:6" x14ac:dyDescent="0.25">
      <c r="A394" t="s">
        <v>169</v>
      </c>
      <c r="B394" t="s">
        <v>170</v>
      </c>
      <c r="C394" t="s">
        <v>4</v>
      </c>
      <c r="E394">
        <f t="shared" si="67"/>
        <v>0</v>
      </c>
      <c r="F394" s="5">
        <f t="shared" si="67"/>
        <v>0</v>
      </c>
    </row>
    <row r="395" spans="1:6" x14ac:dyDescent="0.25">
      <c r="A395" t="s">
        <v>169</v>
      </c>
      <c r="B395" t="s">
        <v>170</v>
      </c>
      <c r="C395" t="s">
        <v>161</v>
      </c>
      <c r="E395">
        <f t="shared" si="67"/>
        <v>0.21428571428571427</v>
      </c>
      <c r="F395" s="5">
        <f t="shared" si="67"/>
        <v>7.1428571428571425E-2</v>
      </c>
    </row>
    <row r="396" spans="1:6" x14ac:dyDescent="0.25">
      <c r="A396" t="s">
        <v>169</v>
      </c>
      <c r="B396" t="s">
        <v>170</v>
      </c>
      <c r="C396" t="s">
        <v>162</v>
      </c>
      <c r="E396">
        <f t="shared" si="67"/>
        <v>0.42857142857142855</v>
      </c>
      <c r="F396" s="5">
        <f t="shared" si="67"/>
        <v>0.14285714285714285</v>
      </c>
    </row>
    <row r="397" spans="1:6" x14ac:dyDescent="0.25">
      <c r="A397" t="s">
        <v>169</v>
      </c>
      <c r="B397" t="s">
        <v>170</v>
      </c>
      <c r="C397" t="s">
        <v>163</v>
      </c>
      <c r="E397">
        <f t="shared" si="67"/>
        <v>1</v>
      </c>
      <c r="F397" s="5">
        <f t="shared" si="67"/>
        <v>0.33333333333333331</v>
      </c>
    </row>
    <row r="398" spans="1:6" x14ac:dyDescent="0.25">
      <c r="A398" t="s">
        <v>169</v>
      </c>
      <c r="B398" t="s">
        <v>170</v>
      </c>
      <c r="C398" t="s">
        <v>164</v>
      </c>
      <c r="E398">
        <f t="shared" si="67"/>
        <v>3</v>
      </c>
      <c r="F398" s="5">
        <f t="shared" si="67"/>
        <v>1</v>
      </c>
    </row>
    <row r="399" spans="1:6" s="2" customFormat="1" x14ac:dyDescent="0.25">
      <c r="A399" s="2" t="s">
        <v>171</v>
      </c>
      <c r="B399" s="2" t="s">
        <v>172</v>
      </c>
      <c r="C399" s="2" t="s">
        <v>134</v>
      </c>
      <c r="E399" s="2">
        <v>0.25</v>
      </c>
      <c r="F399" s="2">
        <f>E399/MAX(E$399:E$403)</f>
        <v>0.25</v>
      </c>
    </row>
    <row r="400" spans="1:6" s="2" customFormat="1" x14ac:dyDescent="0.25">
      <c r="A400" s="2" t="s">
        <v>171</v>
      </c>
      <c r="B400" s="2" t="s">
        <v>172</v>
      </c>
      <c r="C400" s="2" t="s">
        <v>133</v>
      </c>
      <c r="E400" s="2">
        <v>0.5</v>
      </c>
      <c r="F400" s="2">
        <f t="shared" ref="F400:F403" si="68">E400/MAX(E$399:E$403)</f>
        <v>0.5</v>
      </c>
    </row>
    <row r="401" spans="1:6" s="2" customFormat="1" x14ac:dyDescent="0.25">
      <c r="A401" s="2" t="s">
        <v>171</v>
      </c>
      <c r="B401" s="2" t="s">
        <v>172</v>
      </c>
      <c r="C401" s="2" t="s">
        <v>173</v>
      </c>
      <c r="E401" s="2">
        <v>0.75</v>
      </c>
      <c r="F401" s="2">
        <f t="shared" si="68"/>
        <v>0.75</v>
      </c>
    </row>
    <row r="402" spans="1:6" s="2" customFormat="1" x14ac:dyDescent="0.25">
      <c r="A402" s="2" t="s">
        <v>171</v>
      </c>
      <c r="B402" s="2" t="s">
        <v>172</v>
      </c>
      <c r="C402" s="2" t="s">
        <v>174</v>
      </c>
      <c r="E402" s="2">
        <v>0.9</v>
      </c>
      <c r="F402" s="2">
        <f t="shared" si="68"/>
        <v>0.9</v>
      </c>
    </row>
    <row r="403" spans="1:6" s="2" customFormat="1" x14ac:dyDescent="0.25">
      <c r="A403" s="2" t="s">
        <v>171</v>
      </c>
      <c r="B403" s="2" t="s">
        <v>172</v>
      </c>
      <c r="C403" s="2" t="s">
        <v>175</v>
      </c>
      <c r="E403" s="2">
        <v>1</v>
      </c>
      <c r="F403" s="2">
        <f t="shared" si="68"/>
        <v>1</v>
      </c>
    </row>
    <row r="404" spans="1:6" s="2" customFormat="1" x14ac:dyDescent="0.25">
      <c r="A404" s="2" t="s">
        <v>176</v>
      </c>
      <c r="B404" s="2" t="s">
        <v>177</v>
      </c>
      <c r="C404" s="2" t="s">
        <v>178</v>
      </c>
      <c r="E404" s="2">
        <v>0.5</v>
      </c>
      <c r="F404" s="2">
        <f>E404/MAX(E$404:E$409)</f>
        <v>0.16666666666666666</v>
      </c>
    </row>
    <row r="405" spans="1:6" s="2" customFormat="1" x14ac:dyDescent="0.25">
      <c r="A405" s="2" t="s">
        <v>176</v>
      </c>
      <c r="B405" s="2" t="s">
        <v>177</v>
      </c>
      <c r="C405" s="2" t="s">
        <v>179</v>
      </c>
      <c r="E405" s="2">
        <v>1</v>
      </c>
      <c r="F405" s="2">
        <f t="shared" ref="F405:F409" si="69">E405/MAX(E$404:E$409)</f>
        <v>0.33333333333333331</v>
      </c>
    </row>
    <row r="406" spans="1:6" s="2" customFormat="1" x14ac:dyDescent="0.25">
      <c r="A406" s="2" t="s">
        <v>176</v>
      </c>
      <c r="B406" s="2" t="s">
        <v>177</v>
      </c>
      <c r="C406" s="2" t="s">
        <v>180</v>
      </c>
      <c r="E406" s="2">
        <v>1.5</v>
      </c>
      <c r="F406" s="2">
        <f t="shared" si="69"/>
        <v>0.5</v>
      </c>
    </row>
    <row r="407" spans="1:6" s="2" customFormat="1" x14ac:dyDescent="0.25">
      <c r="A407" s="2" t="s">
        <v>176</v>
      </c>
      <c r="B407" s="2" t="s">
        <v>177</v>
      </c>
      <c r="C407" s="2" t="s">
        <v>181</v>
      </c>
      <c r="E407" s="2">
        <v>2</v>
      </c>
      <c r="F407" s="2">
        <f t="shared" si="69"/>
        <v>0.66666666666666663</v>
      </c>
    </row>
    <row r="408" spans="1:6" s="2" customFormat="1" x14ac:dyDescent="0.25">
      <c r="A408" s="2" t="s">
        <v>176</v>
      </c>
      <c r="B408" s="2" t="s">
        <v>177</v>
      </c>
      <c r="C408" s="2" t="s">
        <v>182</v>
      </c>
      <c r="E408" s="2">
        <v>2.5</v>
      </c>
      <c r="F408" s="2">
        <f t="shared" si="69"/>
        <v>0.83333333333333337</v>
      </c>
    </row>
    <row r="409" spans="1:6" s="2" customFormat="1" x14ac:dyDescent="0.25">
      <c r="A409" s="2" t="s">
        <v>176</v>
      </c>
      <c r="B409" s="2" t="s">
        <v>177</v>
      </c>
      <c r="C409" s="2" t="s">
        <v>183</v>
      </c>
      <c r="E409" s="2">
        <v>3</v>
      </c>
      <c r="F409" s="2">
        <f t="shared" si="69"/>
        <v>1</v>
      </c>
    </row>
    <row r="410" spans="1:6" s="2" customFormat="1" x14ac:dyDescent="0.25">
      <c r="A410" s="2" t="s">
        <v>392</v>
      </c>
      <c r="B410" s="2" t="s">
        <v>184</v>
      </c>
      <c r="C410" s="2" t="s">
        <v>4</v>
      </c>
      <c r="E410" s="2">
        <v>0</v>
      </c>
      <c r="F410" s="2">
        <f>E410/MAX(E$410:E$414)</f>
        <v>0</v>
      </c>
    </row>
    <row r="411" spans="1:6" s="2" customFormat="1" x14ac:dyDescent="0.25">
      <c r="A411" s="2" t="s">
        <v>392</v>
      </c>
      <c r="B411" s="2" t="s">
        <v>184</v>
      </c>
      <c r="C411" s="2" t="s">
        <v>185</v>
      </c>
      <c r="E411" s="2">
        <v>1</v>
      </c>
      <c r="F411" s="2">
        <f t="shared" ref="F411:F414" si="70">E411/MAX(E$410:E$414)</f>
        <v>5.7142857142857141E-2</v>
      </c>
    </row>
    <row r="412" spans="1:6" s="2" customFormat="1" x14ac:dyDescent="0.25">
      <c r="A412" s="2" t="s">
        <v>392</v>
      </c>
      <c r="B412" s="2" t="s">
        <v>184</v>
      </c>
      <c r="C412" s="2" t="s">
        <v>186</v>
      </c>
      <c r="E412" s="2">
        <v>3</v>
      </c>
      <c r="F412" s="2">
        <f t="shared" si="70"/>
        <v>0.17142857142857143</v>
      </c>
    </row>
    <row r="413" spans="1:6" s="2" customFormat="1" x14ac:dyDescent="0.25">
      <c r="A413" s="2" t="s">
        <v>392</v>
      </c>
      <c r="B413" s="2" t="s">
        <v>184</v>
      </c>
      <c r="C413" s="2" t="s">
        <v>179</v>
      </c>
      <c r="E413" s="2">
        <v>7</v>
      </c>
      <c r="F413" s="2">
        <f t="shared" si="70"/>
        <v>0.4</v>
      </c>
    </row>
    <row r="414" spans="1:6" s="2" customFormat="1" x14ac:dyDescent="0.25">
      <c r="A414" s="2" t="s">
        <v>392</v>
      </c>
      <c r="B414" s="2" t="s">
        <v>184</v>
      </c>
      <c r="C414" s="2" t="s">
        <v>187</v>
      </c>
      <c r="E414" s="2">
        <f>2.5*7</f>
        <v>17.5</v>
      </c>
      <c r="F414" s="2">
        <f t="shared" si="70"/>
        <v>1</v>
      </c>
    </row>
    <row r="415" spans="1:6" x14ac:dyDescent="0.25">
      <c r="A415" t="s">
        <v>393</v>
      </c>
      <c r="B415" t="s">
        <v>188</v>
      </c>
      <c r="C415" t="s">
        <v>4</v>
      </c>
      <c r="E415">
        <f>E410</f>
        <v>0</v>
      </c>
      <c r="F415" s="5">
        <f>F410</f>
        <v>0</v>
      </c>
    </row>
    <row r="416" spans="1:6" x14ac:dyDescent="0.25">
      <c r="A416" t="s">
        <v>393</v>
      </c>
      <c r="B416" t="s">
        <v>188</v>
      </c>
      <c r="C416" t="s">
        <v>185</v>
      </c>
      <c r="E416">
        <f t="shared" ref="E416:F434" si="71">E411</f>
        <v>1</v>
      </c>
      <c r="F416" s="5">
        <f t="shared" si="71"/>
        <v>5.7142857142857141E-2</v>
      </c>
    </row>
    <row r="417" spans="1:6" x14ac:dyDescent="0.25">
      <c r="A417" t="s">
        <v>393</v>
      </c>
      <c r="B417" t="s">
        <v>188</v>
      </c>
      <c r="C417" t="s">
        <v>186</v>
      </c>
      <c r="E417">
        <f t="shared" si="71"/>
        <v>3</v>
      </c>
      <c r="F417" s="5">
        <f t="shared" si="71"/>
        <v>0.17142857142857143</v>
      </c>
    </row>
    <row r="418" spans="1:6" x14ac:dyDescent="0.25">
      <c r="A418" t="s">
        <v>393</v>
      </c>
      <c r="B418" t="s">
        <v>188</v>
      </c>
      <c r="C418" t="s">
        <v>179</v>
      </c>
      <c r="E418">
        <f t="shared" si="71"/>
        <v>7</v>
      </c>
      <c r="F418" s="5">
        <f t="shared" si="71"/>
        <v>0.4</v>
      </c>
    </row>
    <row r="419" spans="1:6" x14ac:dyDescent="0.25">
      <c r="A419" t="s">
        <v>393</v>
      </c>
      <c r="B419" t="s">
        <v>188</v>
      </c>
      <c r="C419" t="s">
        <v>187</v>
      </c>
      <c r="E419">
        <f t="shared" si="71"/>
        <v>17.5</v>
      </c>
      <c r="F419" s="5">
        <f t="shared" si="71"/>
        <v>1</v>
      </c>
    </row>
    <row r="420" spans="1:6" x14ac:dyDescent="0.25">
      <c r="A420" t="s">
        <v>394</v>
      </c>
      <c r="B420" t="s">
        <v>189</v>
      </c>
      <c r="C420" t="s">
        <v>4</v>
      </c>
      <c r="E420">
        <f t="shared" si="71"/>
        <v>0</v>
      </c>
      <c r="F420" s="5">
        <f t="shared" si="71"/>
        <v>0</v>
      </c>
    </row>
    <row r="421" spans="1:6" x14ac:dyDescent="0.25">
      <c r="A421" t="s">
        <v>394</v>
      </c>
      <c r="B421" t="s">
        <v>189</v>
      </c>
      <c r="C421" t="s">
        <v>185</v>
      </c>
      <c r="E421">
        <f t="shared" si="71"/>
        <v>1</v>
      </c>
      <c r="F421" s="5">
        <f t="shared" si="71"/>
        <v>5.7142857142857141E-2</v>
      </c>
    </row>
    <row r="422" spans="1:6" x14ac:dyDescent="0.25">
      <c r="A422" t="s">
        <v>394</v>
      </c>
      <c r="B422" t="s">
        <v>189</v>
      </c>
      <c r="C422" t="s">
        <v>186</v>
      </c>
      <c r="E422">
        <f t="shared" si="71"/>
        <v>3</v>
      </c>
      <c r="F422" s="5">
        <f t="shared" si="71"/>
        <v>0.17142857142857143</v>
      </c>
    </row>
    <row r="423" spans="1:6" x14ac:dyDescent="0.25">
      <c r="A423" t="s">
        <v>394</v>
      </c>
      <c r="B423" t="s">
        <v>189</v>
      </c>
      <c r="C423" t="s">
        <v>179</v>
      </c>
      <c r="E423">
        <f t="shared" si="71"/>
        <v>7</v>
      </c>
      <c r="F423" s="5">
        <f t="shared" si="71"/>
        <v>0.4</v>
      </c>
    </row>
    <row r="424" spans="1:6" x14ac:dyDescent="0.25">
      <c r="A424" t="s">
        <v>394</v>
      </c>
      <c r="B424" t="s">
        <v>189</v>
      </c>
      <c r="C424" t="s">
        <v>187</v>
      </c>
      <c r="E424">
        <f t="shared" si="71"/>
        <v>17.5</v>
      </c>
      <c r="F424" s="5">
        <f t="shared" si="71"/>
        <v>1</v>
      </c>
    </row>
    <row r="425" spans="1:6" x14ac:dyDescent="0.25">
      <c r="A425" t="s">
        <v>395</v>
      </c>
      <c r="B425" t="s">
        <v>190</v>
      </c>
      <c r="C425" t="s">
        <v>4</v>
      </c>
      <c r="E425">
        <f t="shared" si="71"/>
        <v>0</v>
      </c>
      <c r="F425" s="5">
        <f t="shared" si="71"/>
        <v>0</v>
      </c>
    </row>
    <row r="426" spans="1:6" x14ac:dyDescent="0.25">
      <c r="A426" t="s">
        <v>395</v>
      </c>
      <c r="B426" t="s">
        <v>190</v>
      </c>
      <c r="C426" t="s">
        <v>185</v>
      </c>
      <c r="E426">
        <f t="shared" si="71"/>
        <v>1</v>
      </c>
      <c r="F426" s="5">
        <f t="shared" si="71"/>
        <v>5.7142857142857141E-2</v>
      </c>
    </row>
    <row r="427" spans="1:6" x14ac:dyDescent="0.25">
      <c r="A427" t="s">
        <v>395</v>
      </c>
      <c r="B427" t="s">
        <v>190</v>
      </c>
      <c r="C427" t="s">
        <v>186</v>
      </c>
      <c r="E427">
        <f t="shared" si="71"/>
        <v>3</v>
      </c>
      <c r="F427" s="5">
        <f t="shared" si="71"/>
        <v>0.17142857142857143</v>
      </c>
    </row>
    <row r="428" spans="1:6" x14ac:dyDescent="0.25">
      <c r="A428" t="s">
        <v>395</v>
      </c>
      <c r="B428" t="s">
        <v>190</v>
      </c>
      <c r="C428" t="s">
        <v>179</v>
      </c>
      <c r="E428">
        <f t="shared" si="71"/>
        <v>7</v>
      </c>
      <c r="F428" s="5">
        <f t="shared" si="71"/>
        <v>0.4</v>
      </c>
    </row>
    <row r="429" spans="1:6" x14ac:dyDescent="0.25">
      <c r="A429" t="s">
        <v>395</v>
      </c>
      <c r="B429" t="s">
        <v>190</v>
      </c>
      <c r="C429" t="s">
        <v>187</v>
      </c>
      <c r="E429">
        <f t="shared" si="71"/>
        <v>17.5</v>
      </c>
      <c r="F429" s="5">
        <f t="shared" si="71"/>
        <v>1</v>
      </c>
    </row>
    <row r="430" spans="1:6" x14ac:dyDescent="0.25">
      <c r="A430" t="s">
        <v>396</v>
      </c>
      <c r="B430" t="s">
        <v>191</v>
      </c>
      <c r="C430" t="s">
        <v>4</v>
      </c>
      <c r="E430">
        <f t="shared" si="71"/>
        <v>0</v>
      </c>
      <c r="F430" s="5">
        <f t="shared" si="71"/>
        <v>0</v>
      </c>
    </row>
    <row r="431" spans="1:6" x14ac:dyDescent="0.25">
      <c r="A431" t="s">
        <v>396</v>
      </c>
      <c r="B431" t="s">
        <v>191</v>
      </c>
      <c r="C431" t="s">
        <v>185</v>
      </c>
      <c r="E431">
        <f t="shared" si="71"/>
        <v>1</v>
      </c>
      <c r="F431" s="5">
        <f t="shared" si="71"/>
        <v>5.7142857142857141E-2</v>
      </c>
    </row>
    <row r="432" spans="1:6" x14ac:dyDescent="0.25">
      <c r="A432" t="s">
        <v>396</v>
      </c>
      <c r="B432" t="s">
        <v>191</v>
      </c>
      <c r="C432" t="s">
        <v>186</v>
      </c>
      <c r="E432">
        <f t="shared" si="71"/>
        <v>3</v>
      </c>
      <c r="F432" s="5">
        <f t="shared" si="71"/>
        <v>0.17142857142857143</v>
      </c>
    </row>
    <row r="433" spans="1:6" x14ac:dyDescent="0.25">
      <c r="A433" t="s">
        <v>396</v>
      </c>
      <c r="B433" t="s">
        <v>191</v>
      </c>
      <c r="C433" t="s">
        <v>179</v>
      </c>
      <c r="E433">
        <f t="shared" si="71"/>
        <v>7</v>
      </c>
      <c r="F433" s="5">
        <f t="shared" si="71"/>
        <v>0.4</v>
      </c>
    </row>
    <row r="434" spans="1:6" x14ac:dyDescent="0.25">
      <c r="A434" t="s">
        <v>396</v>
      </c>
      <c r="B434" t="s">
        <v>191</v>
      </c>
      <c r="C434" t="s">
        <v>187</v>
      </c>
      <c r="E434">
        <f t="shared" si="71"/>
        <v>17.5</v>
      </c>
      <c r="F434" s="5">
        <f t="shared" si="71"/>
        <v>1</v>
      </c>
    </row>
    <row r="435" spans="1:6" s="2" customFormat="1" x14ac:dyDescent="0.25">
      <c r="A435" s="2" t="s">
        <v>397</v>
      </c>
      <c r="B435" s="2" t="s">
        <v>192</v>
      </c>
      <c r="C435" s="2" t="s">
        <v>402</v>
      </c>
      <c r="E435" s="2">
        <f>2/7</f>
        <v>0.2857142857142857</v>
      </c>
      <c r="F435" s="2">
        <f>E435/MAX(E$435:E$440)</f>
        <v>0.11428571428571428</v>
      </c>
    </row>
    <row r="436" spans="1:6" s="2" customFormat="1" x14ac:dyDescent="0.25">
      <c r="A436" s="2" t="s">
        <v>397</v>
      </c>
      <c r="B436" s="2" t="s">
        <v>192</v>
      </c>
      <c r="C436" s="2" t="s">
        <v>403</v>
      </c>
      <c r="E436" s="2">
        <f>3.5/7</f>
        <v>0.5</v>
      </c>
      <c r="F436" s="2">
        <f t="shared" ref="F436:F440" si="72">E436/MAX(E$435:E$440)</f>
        <v>0.2</v>
      </c>
    </row>
    <row r="437" spans="1:6" s="2" customFormat="1" x14ac:dyDescent="0.25">
      <c r="A437" s="2" t="s">
        <v>397</v>
      </c>
      <c r="B437" s="2" t="s">
        <v>192</v>
      </c>
      <c r="C437" s="2" t="s">
        <v>178</v>
      </c>
      <c r="E437" s="2">
        <v>0.5</v>
      </c>
      <c r="F437" s="2">
        <f t="shared" si="72"/>
        <v>0.2</v>
      </c>
    </row>
    <row r="438" spans="1:6" s="2" customFormat="1" x14ac:dyDescent="0.25">
      <c r="A438" s="2" t="s">
        <v>397</v>
      </c>
      <c r="B438" s="2" t="s">
        <v>192</v>
      </c>
      <c r="C438" s="2" t="s">
        <v>179</v>
      </c>
      <c r="E438" s="2">
        <v>1</v>
      </c>
      <c r="F438" s="2">
        <f t="shared" si="72"/>
        <v>0.4</v>
      </c>
    </row>
    <row r="439" spans="1:6" s="2" customFormat="1" x14ac:dyDescent="0.25">
      <c r="A439" s="2" t="s">
        <v>397</v>
      </c>
      <c r="B439" s="2" t="s">
        <v>192</v>
      </c>
      <c r="C439" s="2" t="s">
        <v>180</v>
      </c>
      <c r="E439" s="2">
        <v>1.5</v>
      </c>
      <c r="F439" s="2">
        <f t="shared" si="72"/>
        <v>0.6</v>
      </c>
    </row>
    <row r="440" spans="1:6" s="2" customFormat="1" x14ac:dyDescent="0.25">
      <c r="A440" s="2" t="s">
        <v>397</v>
      </c>
      <c r="B440" s="2" t="s">
        <v>192</v>
      </c>
      <c r="C440" s="2" t="s">
        <v>193</v>
      </c>
      <c r="E440" s="2">
        <v>2.5</v>
      </c>
      <c r="F440" s="2">
        <f t="shared" si="72"/>
        <v>1</v>
      </c>
    </row>
    <row r="441" spans="1:6" s="2" customFormat="1" x14ac:dyDescent="0.25">
      <c r="A441" s="2" t="s">
        <v>398</v>
      </c>
      <c r="B441" s="2" t="s">
        <v>194</v>
      </c>
      <c r="C441" s="2" t="s">
        <v>4</v>
      </c>
      <c r="E441" s="2">
        <v>0</v>
      </c>
      <c r="F441" s="2">
        <f>E441/MAX(E$441:E$445)</f>
        <v>0</v>
      </c>
    </row>
    <row r="442" spans="1:6" s="2" customFormat="1" x14ac:dyDescent="0.25">
      <c r="A442" s="2" t="s">
        <v>398</v>
      </c>
      <c r="B442" s="2" t="s">
        <v>194</v>
      </c>
      <c r="C442" s="2" t="s">
        <v>195</v>
      </c>
      <c r="E442" s="2">
        <f>0.5/7</f>
        <v>7.1428571428571425E-2</v>
      </c>
      <c r="F442" s="2">
        <f t="shared" ref="F442:F445" si="73">E442/MAX(E$441:E$445)</f>
        <v>9.9999999999999992E-2</v>
      </c>
    </row>
    <row r="443" spans="1:6" s="2" customFormat="1" x14ac:dyDescent="0.25">
      <c r="A443" s="2" t="s">
        <v>398</v>
      </c>
      <c r="B443" s="2" t="s">
        <v>194</v>
      </c>
      <c r="C443" s="2" t="s">
        <v>196</v>
      </c>
      <c r="E443" s="2">
        <f>1.5/7</f>
        <v>0.21428571428571427</v>
      </c>
      <c r="F443" s="2">
        <f t="shared" si="73"/>
        <v>0.3</v>
      </c>
    </row>
    <row r="444" spans="1:6" s="2" customFormat="1" x14ac:dyDescent="0.25">
      <c r="A444" s="2" t="s">
        <v>398</v>
      </c>
      <c r="B444" s="2" t="s">
        <v>194</v>
      </c>
      <c r="C444" s="2" t="s">
        <v>197</v>
      </c>
      <c r="E444" s="2">
        <f>2.5/7</f>
        <v>0.35714285714285715</v>
      </c>
      <c r="F444" s="2">
        <f t="shared" si="73"/>
        <v>0.5</v>
      </c>
    </row>
    <row r="445" spans="1:6" s="2" customFormat="1" x14ac:dyDescent="0.25">
      <c r="A445" s="2" t="s">
        <v>398</v>
      </c>
      <c r="B445" s="2" t="s">
        <v>194</v>
      </c>
      <c r="C445" s="2" t="s">
        <v>198</v>
      </c>
      <c r="E445" s="2">
        <f>5/7</f>
        <v>0.7142857142857143</v>
      </c>
      <c r="F445" s="2">
        <f t="shared" si="73"/>
        <v>1</v>
      </c>
    </row>
    <row r="446" spans="1:6" s="2" customFormat="1" x14ac:dyDescent="0.25">
      <c r="A446" s="1" t="s">
        <v>199</v>
      </c>
      <c r="B446" s="2" t="s">
        <v>200</v>
      </c>
      <c r="C446" s="2" t="s">
        <v>4</v>
      </c>
      <c r="E446" s="2">
        <v>0</v>
      </c>
      <c r="F446" s="2">
        <f>E446/MAX(E$446:E$451)</f>
        <v>0</v>
      </c>
    </row>
    <row r="447" spans="1:6" s="2" customFormat="1" x14ac:dyDescent="0.25">
      <c r="A447" s="1" t="s">
        <v>199</v>
      </c>
      <c r="B447" s="2" t="s">
        <v>200</v>
      </c>
      <c r="C447" s="2" t="s">
        <v>201</v>
      </c>
      <c r="E447" s="2">
        <v>1</v>
      </c>
      <c r="F447" s="2">
        <f t="shared" ref="F447:F451" si="74">E447/MAX(E$446:E$451)</f>
        <v>0.04</v>
      </c>
    </row>
    <row r="448" spans="1:6" s="2" customFormat="1" x14ac:dyDescent="0.25">
      <c r="A448" s="1" t="s">
        <v>199</v>
      </c>
      <c r="B448" s="2" t="s">
        <v>200</v>
      </c>
      <c r="C448" s="2" t="s">
        <v>202</v>
      </c>
      <c r="E448" s="2">
        <v>4</v>
      </c>
      <c r="F448" s="2">
        <f t="shared" si="74"/>
        <v>0.16</v>
      </c>
    </row>
    <row r="449" spans="1:6" s="2" customFormat="1" x14ac:dyDescent="0.25">
      <c r="A449" s="1" t="s">
        <v>199</v>
      </c>
      <c r="B449" s="2" t="s">
        <v>200</v>
      </c>
      <c r="C449" s="2" t="s">
        <v>203</v>
      </c>
      <c r="E449" s="2">
        <v>7.5</v>
      </c>
      <c r="F449" s="2">
        <f t="shared" si="74"/>
        <v>0.3</v>
      </c>
    </row>
    <row r="450" spans="1:6" s="2" customFormat="1" x14ac:dyDescent="0.25">
      <c r="A450" s="1" t="s">
        <v>199</v>
      </c>
      <c r="B450" s="2" t="s">
        <v>200</v>
      </c>
      <c r="C450" s="2" t="s">
        <v>204</v>
      </c>
      <c r="E450" s="2">
        <v>15</v>
      </c>
      <c r="F450" s="2">
        <f t="shared" si="74"/>
        <v>0.6</v>
      </c>
    </row>
    <row r="451" spans="1:6" s="2" customFormat="1" x14ac:dyDescent="0.25">
      <c r="A451" s="1" t="s">
        <v>199</v>
      </c>
      <c r="B451" s="2" t="s">
        <v>200</v>
      </c>
      <c r="C451" s="2" t="s">
        <v>205</v>
      </c>
      <c r="E451" s="2">
        <v>25</v>
      </c>
      <c r="F451" s="2">
        <f t="shared" si="74"/>
        <v>1</v>
      </c>
    </row>
    <row r="452" spans="1:6" x14ac:dyDescent="0.25">
      <c r="A452" t="s">
        <v>206</v>
      </c>
      <c r="B452" t="s">
        <v>207</v>
      </c>
      <c r="C452" t="s">
        <v>4</v>
      </c>
      <c r="E452">
        <f>E446</f>
        <v>0</v>
      </c>
      <c r="F452" s="5">
        <f>F446</f>
        <v>0</v>
      </c>
    </row>
    <row r="453" spans="1:6" x14ac:dyDescent="0.25">
      <c r="A453" t="s">
        <v>206</v>
      </c>
      <c r="B453" t="s">
        <v>207</v>
      </c>
      <c r="C453" t="s">
        <v>201</v>
      </c>
      <c r="E453">
        <f t="shared" ref="E453:F487" si="75">E447</f>
        <v>1</v>
      </c>
      <c r="F453" s="5">
        <f t="shared" si="75"/>
        <v>0.04</v>
      </c>
    </row>
    <row r="454" spans="1:6" x14ac:dyDescent="0.25">
      <c r="A454" t="s">
        <v>206</v>
      </c>
      <c r="B454" t="s">
        <v>207</v>
      </c>
      <c r="C454" t="s">
        <v>202</v>
      </c>
      <c r="E454">
        <f t="shared" si="75"/>
        <v>4</v>
      </c>
      <c r="F454" s="5">
        <f t="shared" si="75"/>
        <v>0.16</v>
      </c>
    </row>
    <row r="455" spans="1:6" x14ac:dyDescent="0.25">
      <c r="A455" t="s">
        <v>206</v>
      </c>
      <c r="B455" t="s">
        <v>207</v>
      </c>
      <c r="C455" t="s">
        <v>203</v>
      </c>
      <c r="E455">
        <f t="shared" si="75"/>
        <v>7.5</v>
      </c>
      <c r="F455" s="5">
        <f t="shared" si="75"/>
        <v>0.3</v>
      </c>
    </row>
    <row r="456" spans="1:6" x14ac:dyDescent="0.25">
      <c r="A456" t="s">
        <v>206</v>
      </c>
      <c r="B456" t="s">
        <v>207</v>
      </c>
      <c r="C456" t="s">
        <v>204</v>
      </c>
      <c r="E456">
        <f t="shared" si="75"/>
        <v>15</v>
      </c>
      <c r="F456" s="5">
        <f t="shared" si="75"/>
        <v>0.6</v>
      </c>
    </row>
    <row r="457" spans="1:6" x14ac:dyDescent="0.25">
      <c r="A457" t="s">
        <v>206</v>
      </c>
      <c r="B457" t="s">
        <v>207</v>
      </c>
      <c r="C457" t="s">
        <v>205</v>
      </c>
      <c r="E457">
        <f t="shared" si="75"/>
        <v>25</v>
      </c>
      <c r="F457" s="5">
        <f t="shared" si="75"/>
        <v>1</v>
      </c>
    </row>
    <row r="458" spans="1:6" x14ac:dyDescent="0.25">
      <c r="A458" t="s">
        <v>199</v>
      </c>
      <c r="B458" t="s">
        <v>208</v>
      </c>
      <c r="C458" t="s">
        <v>4</v>
      </c>
      <c r="E458">
        <f t="shared" si="75"/>
        <v>0</v>
      </c>
      <c r="F458" s="5">
        <f t="shared" si="75"/>
        <v>0</v>
      </c>
    </row>
    <row r="459" spans="1:6" x14ac:dyDescent="0.25">
      <c r="A459" t="s">
        <v>199</v>
      </c>
      <c r="B459" t="s">
        <v>208</v>
      </c>
      <c r="C459" t="s">
        <v>201</v>
      </c>
      <c r="E459">
        <f t="shared" si="75"/>
        <v>1</v>
      </c>
      <c r="F459" s="5">
        <f t="shared" si="75"/>
        <v>0.04</v>
      </c>
    </row>
    <row r="460" spans="1:6" x14ac:dyDescent="0.25">
      <c r="A460" t="s">
        <v>199</v>
      </c>
      <c r="B460" t="s">
        <v>208</v>
      </c>
      <c r="C460" t="s">
        <v>202</v>
      </c>
      <c r="E460">
        <f t="shared" si="75"/>
        <v>4</v>
      </c>
      <c r="F460" s="5">
        <f t="shared" si="75"/>
        <v>0.16</v>
      </c>
    </row>
    <row r="461" spans="1:6" x14ac:dyDescent="0.25">
      <c r="A461" t="s">
        <v>199</v>
      </c>
      <c r="B461" t="s">
        <v>208</v>
      </c>
      <c r="C461" t="s">
        <v>203</v>
      </c>
      <c r="E461">
        <f t="shared" si="75"/>
        <v>7.5</v>
      </c>
      <c r="F461" s="5">
        <f t="shared" si="75"/>
        <v>0.3</v>
      </c>
    </row>
    <row r="462" spans="1:6" x14ac:dyDescent="0.25">
      <c r="A462" t="s">
        <v>199</v>
      </c>
      <c r="B462" t="s">
        <v>208</v>
      </c>
      <c r="C462" t="s">
        <v>204</v>
      </c>
      <c r="E462">
        <f t="shared" si="75"/>
        <v>15</v>
      </c>
      <c r="F462" s="5">
        <f t="shared" si="75"/>
        <v>0.6</v>
      </c>
    </row>
    <row r="463" spans="1:6" x14ac:dyDescent="0.25">
      <c r="A463" t="s">
        <v>199</v>
      </c>
      <c r="B463" t="s">
        <v>208</v>
      </c>
      <c r="C463" t="s">
        <v>205</v>
      </c>
      <c r="E463">
        <f t="shared" si="75"/>
        <v>25</v>
      </c>
      <c r="F463" s="5">
        <f t="shared" si="75"/>
        <v>1</v>
      </c>
    </row>
    <row r="464" spans="1:6" x14ac:dyDescent="0.25">
      <c r="A464" t="s">
        <v>209</v>
      </c>
      <c r="B464" t="s">
        <v>210</v>
      </c>
      <c r="C464" t="s">
        <v>4</v>
      </c>
      <c r="E464">
        <f t="shared" si="75"/>
        <v>0</v>
      </c>
      <c r="F464" s="5">
        <f t="shared" si="75"/>
        <v>0</v>
      </c>
    </row>
    <row r="465" spans="1:6" x14ac:dyDescent="0.25">
      <c r="A465" t="s">
        <v>209</v>
      </c>
      <c r="B465" t="s">
        <v>210</v>
      </c>
      <c r="C465" t="s">
        <v>201</v>
      </c>
      <c r="E465">
        <f t="shared" si="75"/>
        <v>1</v>
      </c>
      <c r="F465" s="5">
        <f t="shared" si="75"/>
        <v>0.04</v>
      </c>
    </row>
    <row r="466" spans="1:6" x14ac:dyDescent="0.25">
      <c r="A466" t="s">
        <v>209</v>
      </c>
      <c r="B466" t="s">
        <v>210</v>
      </c>
      <c r="C466" t="s">
        <v>202</v>
      </c>
      <c r="E466">
        <f t="shared" si="75"/>
        <v>4</v>
      </c>
      <c r="F466" s="5">
        <f t="shared" si="75"/>
        <v>0.16</v>
      </c>
    </row>
    <row r="467" spans="1:6" x14ac:dyDescent="0.25">
      <c r="A467" t="s">
        <v>209</v>
      </c>
      <c r="B467" t="s">
        <v>210</v>
      </c>
      <c r="C467" t="s">
        <v>203</v>
      </c>
      <c r="E467">
        <f t="shared" si="75"/>
        <v>7.5</v>
      </c>
      <c r="F467" s="5">
        <f t="shared" si="75"/>
        <v>0.3</v>
      </c>
    </row>
    <row r="468" spans="1:6" x14ac:dyDescent="0.25">
      <c r="A468" t="s">
        <v>209</v>
      </c>
      <c r="B468" t="s">
        <v>210</v>
      </c>
      <c r="C468" t="s">
        <v>204</v>
      </c>
      <c r="E468">
        <f t="shared" si="75"/>
        <v>15</v>
      </c>
      <c r="F468" s="5">
        <f t="shared" si="75"/>
        <v>0.6</v>
      </c>
    </row>
    <row r="469" spans="1:6" x14ac:dyDescent="0.25">
      <c r="A469" t="s">
        <v>209</v>
      </c>
      <c r="B469" t="s">
        <v>210</v>
      </c>
      <c r="C469" t="s">
        <v>205</v>
      </c>
      <c r="E469">
        <f t="shared" si="75"/>
        <v>25</v>
      </c>
      <c r="F469" s="5">
        <f t="shared" si="75"/>
        <v>1</v>
      </c>
    </row>
    <row r="470" spans="1:6" x14ac:dyDescent="0.25">
      <c r="A470" t="s">
        <v>211</v>
      </c>
      <c r="B470" t="s">
        <v>212</v>
      </c>
      <c r="C470" t="s">
        <v>4</v>
      </c>
      <c r="E470">
        <f t="shared" si="75"/>
        <v>0</v>
      </c>
      <c r="F470" s="5">
        <f t="shared" si="75"/>
        <v>0</v>
      </c>
    </row>
    <row r="471" spans="1:6" x14ac:dyDescent="0.25">
      <c r="A471" t="s">
        <v>211</v>
      </c>
      <c r="B471" t="s">
        <v>212</v>
      </c>
      <c r="C471" t="s">
        <v>201</v>
      </c>
      <c r="E471">
        <f t="shared" si="75"/>
        <v>1</v>
      </c>
      <c r="F471" s="5">
        <f t="shared" si="75"/>
        <v>0.04</v>
      </c>
    </row>
    <row r="472" spans="1:6" x14ac:dyDescent="0.25">
      <c r="A472" t="s">
        <v>211</v>
      </c>
      <c r="B472" t="s">
        <v>212</v>
      </c>
      <c r="C472" t="s">
        <v>202</v>
      </c>
      <c r="E472">
        <f t="shared" si="75"/>
        <v>4</v>
      </c>
      <c r="F472" s="5">
        <f t="shared" si="75"/>
        <v>0.16</v>
      </c>
    </row>
    <row r="473" spans="1:6" x14ac:dyDescent="0.25">
      <c r="A473" t="s">
        <v>211</v>
      </c>
      <c r="B473" t="s">
        <v>212</v>
      </c>
      <c r="C473" t="s">
        <v>203</v>
      </c>
      <c r="E473">
        <f t="shared" si="75"/>
        <v>7.5</v>
      </c>
      <c r="F473" s="5">
        <f t="shared" si="75"/>
        <v>0.3</v>
      </c>
    </row>
    <row r="474" spans="1:6" x14ac:dyDescent="0.25">
      <c r="A474" t="s">
        <v>211</v>
      </c>
      <c r="B474" t="s">
        <v>212</v>
      </c>
      <c r="C474" t="s">
        <v>204</v>
      </c>
      <c r="E474">
        <f t="shared" si="75"/>
        <v>15</v>
      </c>
      <c r="F474" s="5">
        <f t="shared" si="75"/>
        <v>0.6</v>
      </c>
    </row>
    <row r="475" spans="1:6" x14ac:dyDescent="0.25">
      <c r="A475" t="s">
        <v>211</v>
      </c>
      <c r="B475" t="s">
        <v>212</v>
      </c>
      <c r="C475" t="s">
        <v>205</v>
      </c>
      <c r="E475">
        <f t="shared" si="75"/>
        <v>25</v>
      </c>
      <c r="F475" s="5">
        <f t="shared" si="75"/>
        <v>1</v>
      </c>
    </row>
    <row r="476" spans="1:6" x14ac:dyDescent="0.25">
      <c r="A476" t="s">
        <v>213</v>
      </c>
      <c r="B476" t="s">
        <v>214</v>
      </c>
      <c r="C476" t="s">
        <v>4</v>
      </c>
      <c r="E476">
        <f t="shared" si="75"/>
        <v>0</v>
      </c>
      <c r="F476" s="5">
        <f t="shared" si="75"/>
        <v>0</v>
      </c>
    </row>
    <row r="477" spans="1:6" x14ac:dyDescent="0.25">
      <c r="A477" t="s">
        <v>213</v>
      </c>
      <c r="B477" t="s">
        <v>214</v>
      </c>
      <c r="C477" t="s">
        <v>201</v>
      </c>
      <c r="E477">
        <f t="shared" si="75"/>
        <v>1</v>
      </c>
      <c r="F477" s="5">
        <f t="shared" si="75"/>
        <v>0.04</v>
      </c>
    </row>
    <row r="478" spans="1:6" x14ac:dyDescent="0.25">
      <c r="A478" t="s">
        <v>213</v>
      </c>
      <c r="B478" t="s">
        <v>214</v>
      </c>
      <c r="C478" t="s">
        <v>202</v>
      </c>
      <c r="E478">
        <f t="shared" si="75"/>
        <v>4</v>
      </c>
      <c r="F478" s="5">
        <f t="shared" si="75"/>
        <v>0.16</v>
      </c>
    </row>
    <row r="479" spans="1:6" x14ac:dyDescent="0.25">
      <c r="A479" t="s">
        <v>213</v>
      </c>
      <c r="B479" t="s">
        <v>214</v>
      </c>
      <c r="C479" t="s">
        <v>203</v>
      </c>
      <c r="E479">
        <f t="shared" si="75"/>
        <v>7.5</v>
      </c>
      <c r="F479" s="5">
        <f t="shared" si="75"/>
        <v>0.3</v>
      </c>
    </row>
    <row r="480" spans="1:6" x14ac:dyDescent="0.25">
      <c r="A480" t="s">
        <v>213</v>
      </c>
      <c r="B480" t="s">
        <v>214</v>
      </c>
      <c r="C480" t="s">
        <v>204</v>
      </c>
      <c r="E480">
        <f t="shared" si="75"/>
        <v>15</v>
      </c>
      <c r="F480" s="5">
        <f t="shared" si="75"/>
        <v>0.6</v>
      </c>
    </row>
    <row r="481" spans="1:6" x14ac:dyDescent="0.25">
      <c r="A481" t="s">
        <v>213</v>
      </c>
      <c r="B481" t="s">
        <v>214</v>
      </c>
      <c r="C481" t="s">
        <v>205</v>
      </c>
      <c r="E481">
        <f t="shared" si="75"/>
        <v>25</v>
      </c>
      <c r="F481" s="5">
        <f t="shared" si="75"/>
        <v>1</v>
      </c>
    </row>
    <row r="482" spans="1:6" x14ac:dyDescent="0.25">
      <c r="A482" t="s">
        <v>215</v>
      </c>
      <c r="B482" t="s">
        <v>216</v>
      </c>
      <c r="C482" t="s">
        <v>4</v>
      </c>
      <c r="E482">
        <f t="shared" si="75"/>
        <v>0</v>
      </c>
      <c r="F482" s="5">
        <f t="shared" si="75"/>
        <v>0</v>
      </c>
    </row>
    <row r="483" spans="1:6" x14ac:dyDescent="0.25">
      <c r="A483" t="s">
        <v>215</v>
      </c>
      <c r="B483" t="s">
        <v>216</v>
      </c>
      <c r="C483" t="s">
        <v>201</v>
      </c>
      <c r="E483">
        <f t="shared" si="75"/>
        <v>1</v>
      </c>
      <c r="F483" s="5">
        <f t="shared" si="75"/>
        <v>0.04</v>
      </c>
    </row>
    <row r="484" spans="1:6" x14ac:dyDescent="0.25">
      <c r="A484" t="s">
        <v>215</v>
      </c>
      <c r="B484" t="s">
        <v>216</v>
      </c>
      <c r="C484" t="s">
        <v>202</v>
      </c>
      <c r="E484">
        <f t="shared" si="75"/>
        <v>4</v>
      </c>
      <c r="F484" s="5">
        <f t="shared" si="75"/>
        <v>0.16</v>
      </c>
    </row>
    <row r="485" spans="1:6" x14ac:dyDescent="0.25">
      <c r="A485" t="s">
        <v>215</v>
      </c>
      <c r="B485" t="s">
        <v>216</v>
      </c>
      <c r="C485" t="s">
        <v>203</v>
      </c>
      <c r="E485">
        <f t="shared" si="75"/>
        <v>7.5</v>
      </c>
      <c r="F485" s="5">
        <f t="shared" si="75"/>
        <v>0.3</v>
      </c>
    </row>
    <row r="486" spans="1:6" x14ac:dyDescent="0.25">
      <c r="A486" t="s">
        <v>215</v>
      </c>
      <c r="B486" t="s">
        <v>216</v>
      </c>
      <c r="C486" t="s">
        <v>204</v>
      </c>
      <c r="E486">
        <f t="shared" si="75"/>
        <v>15</v>
      </c>
      <c r="F486" s="5">
        <f t="shared" si="75"/>
        <v>0.6</v>
      </c>
    </row>
    <row r="487" spans="1:6" x14ac:dyDescent="0.25">
      <c r="A487" t="s">
        <v>215</v>
      </c>
      <c r="B487" t="s">
        <v>216</v>
      </c>
      <c r="C487" t="s">
        <v>205</v>
      </c>
      <c r="E487">
        <f t="shared" si="75"/>
        <v>25</v>
      </c>
      <c r="F487" s="5">
        <f t="shared" si="75"/>
        <v>1</v>
      </c>
    </row>
    <row r="488" spans="1:6" s="2" customFormat="1" x14ac:dyDescent="0.25">
      <c r="A488" s="2" t="s">
        <v>217</v>
      </c>
      <c r="B488" s="2" t="s">
        <v>218</v>
      </c>
      <c r="C488" s="2" t="s">
        <v>219</v>
      </c>
      <c r="E488" s="2">
        <v>100</v>
      </c>
      <c r="F488" s="2">
        <f>E488/MAX(E$488:E$493)</f>
        <v>1</v>
      </c>
    </row>
    <row r="489" spans="1:6" s="2" customFormat="1" x14ac:dyDescent="0.25">
      <c r="A489" s="2" t="s">
        <v>217</v>
      </c>
      <c r="B489" s="2" t="s">
        <v>218</v>
      </c>
      <c r="C489" s="2" t="s">
        <v>220</v>
      </c>
      <c r="E489" s="2">
        <v>1</v>
      </c>
      <c r="F489" s="2">
        <f t="shared" ref="F489:F493" si="76">E489/MAX(E$488:E$493)</f>
        <v>0.01</v>
      </c>
    </row>
    <row r="490" spans="1:6" s="2" customFormat="1" x14ac:dyDescent="0.25">
      <c r="A490" s="2" t="s">
        <v>217</v>
      </c>
      <c r="B490" s="2" t="s">
        <v>218</v>
      </c>
      <c r="C490" s="2" t="s">
        <v>202</v>
      </c>
      <c r="E490" s="2">
        <v>4</v>
      </c>
      <c r="F490" s="2">
        <f t="shared" si="76"/>
        <v>0.04</v>
      </c>
    </row>
    <row r="491" spans="1:6" s="2" customFormat="1" x14ac:dyDescent="0.25">
      <c r="A491" s="2" t="s">
        <v>217</v>
      </c>
      <c r="B491" s="2" t="s">
        <v>218</v>
      </c>
      <c r="C491" s="2" t="s">
        <v>203</v>
      </c>
      <c r="E491" s="2">
        <v>7.5</v>
      </c>
      <c r="F491" s="2">
        <f t="shared" si="76"/>
        <v>7.4999999999999997E-2</v>
      </c>
    </row>
    <row r="492" spans="1:6" s="2" customFormat="1" x14ac:dyDescent="0.25">
      <c r="A492" s="2" t="s">
        <v>217</v>
      </c>
      <c r="B492" s="2" t="s">
        <v>218</v>
      </c>
      <c r="C492" s="2" t="s">
        <v>204</v>
      </c>
      <c r="E492" s="2">
        <v>15</v>
      </c>
      <c r="F492" s="2">
        <f t="shared" si="76"/>
        <v>0.15</v>
      </c>
    </row>
    <row r="493" spans="1:6" s="2" customFormat="1" x14ac:dyDescent="0.25">
      <c r="A493" s="2" t="s">
        <v>217</v>
      </c>
      <c r="B493" s="2" t="s">
        <v>218</v>
      </c>
      <c r="C493" s="2" t="s">
        <v>205</v>
      </c>
      <c r="E493" s="2">
        <v>25</v>
      </c>
      <c r="F493" s="2">
        <f t="shared" si="76"/>
        <v>0.25</v>
      </c>
    </row>
    <row r="494" spans="1:6" x14ac:dyDescent="0.25">
      <c r="A494" t="s">
        <v>221</v>
      </c>
      <c r="B494" t="s">
        <v>222</v>
      </c>
      <c r="C494" t="s">
        <v>219</v>
      </c>
      <c r="E494">
        <f>E488</f>
        <v>100</v>
      </c>
      <c r="F494" s="5">
        <f>F488</f>
        <v>1</v>
      </c>
    </row>
    <row r="495" spans="1:6" x14ac:dyDescent="0.25">
      <c r="A495" t="s">
        <v>221</v>
      </c>
      <c r="B495" t="s">
        <v>222</v>
      </c>
      <c r="C495" t="s">
        <v>220</v>
      </c>
      <c r="E495">
        <f t="shared" ref="E495:F529" si="77">E489</f>
        <v>1</v>
      </c>
      <c r="F495" s="5">
        <f t="shared" si="77"/>
        <v>0.01</v>
      </c>
    </row>
    <row r="496" spans="1:6" x14ac:dyDescent="0.25">
      <c r="A496" t="s">
        <v>221</v>
      </c>
      <c r="B496" t="s">
        <v>222</v>
      </c>
      <c r="C496" t="s">
        <v>202</v>
      </c>
      <c r="E496">
        <f t="shared" si="77"/>
        <v>4</v>
      </c>
      <c r="F496" s="5">
        <f t="shared" si="77"/>
        <v>0.04</v>
      </c>
    </row>
    <row r="497" spans="1:6" x14ac:dyDescent="0.25">
      <c r="A497" t="s">
        <v>221</v>
      </c>
      <c r="B497" t="s">
        <v>222</v>
      </c>
      <c r="C497" t="s">
        <v>203</v>
      </c>
      <c r="E497">
        <f t="shared" si="77"/>
        <v>7.5</v>
      </c>
      <c r="F497" s="5">
        <f t="shared" si="77"/>
        <v>7.4999999999999997E-2</v>
      </c>
    </row>
    <row r="498" spans="1:6" x14ac:dyDescent="0.25">
      <c r="A498" t="s">
        <v>221</v>
      </c>
      <c r="B498" t="s">
        <v>222</v>
      </c>
      <c r="C498" t="s">
        <v>204</v>
      </c>
      <c r="E498">
        <f t="shared" si="77"/>
        <v>15</v>
      </c>
      <c r="F498" s="5">
        <f t="shared" si="77"/>
        <v>0.15</v>
      </c>
    </row>
    <row r="499" spans="1:6" x14ac:dyDescent="0.25">
      <c r="A499" t="s">
        <v>221</v>
      </c>
      <c r="B499" t="s">
        <v>222</v>
      </c>
      <c r="C499" t="s">
        <v>205</v>
      </c>
      <c r="E499">
        <f t="shared" si="77"/>
        <v>25</v>
      </c>
      <c r="F499" s="5">
        <f t="shared" si="77"/>
        <v>0.25</v>
      </c>
    </row>
    <row r="500" spans="1:6" x14ac:dyDescent="0.25">
      <c r="A500" t="s">
        <v>217</v>
      </c>
      <c r="B500" t="s">
        <v>223</v>
      </c>
      <c r="C500" t="s">
        <v>219</v>
      </c>
      <c r="E500">
        <f t="shared" si="77"/>
        <v>100</v>
      </c>
      <c r="F500" s="5">
        <f t="shared" si="77"/>
        <v>1</v>
      </c>
    </row>
    <row r="501" spans="1:6" x14ac:dyDescent="0.25">
      <c r="A501" t="s">
        <v>217</v>
      </c>
      <c r="B501" t="s">
        <v>223</v>
      </c>
      <c r="C501" t="s">
        <v>220</v>
      </c>
      <c r="E501">
        <f t="shared" si="77"/>
        <v>1</v>
      </c>
      <c r="F501" s="5">
        <f t="shared" si="77"/>
        <v>0.01</v>
      </c>
    </row>
    <row r="502" spans="1:6" x14ac:dyDescent="0.25">
      <c r="A502" t="s">
        <v>217</v>
      </c>
      <c r="B502" t="s">
        <v>223</v>
      </c>
      <c r="C502" t="s">
        <v>202</v>
      </c>
      <c r="E502">
        <f t="shared" si="77"/>
        <v>4</v>
      </c>
      <c r="F502" s="5">
        <f t="shared" si="77"/>
        <v>0.04</v>
      </c>
    </row>
    <row r="503" spans="1:6" x14ac:dyDescent="0.25">
      <c r="A503" t="s">
        <v>217</v>
      </c>
      <c r="B503" t="s">
        <v>223</v>
      </c>
      <c r="C503" t="s">
        <v>203</v>
      </c>
      <c r="E503">
        <f t="shared" si="77"/>
        <v>7.5</v>
      </c>
      <c r="F503" s="5">
        <f t="shared" si="77"/>
        <v>7.4999999999999997E-2</v>
      </c>
    </row>
    <row r="504" spans="1:6" x14ac:dyDescent="0.25">
      <c r="A504" t="s">
        <v>217</v>
      </c>
      <c r="B504" t="s">
        <v>223</v>
      </c>
      <c r="C504" t="s">
        <v>204</v>
      </c>
      <c r="E504">
        <f t="shared" si="77"/>
        <v>15</v>
      </c>
      <c r="F504" s="5">
        <f t="shared" si="77"/>
        <v>0.15</v>
      </c>
    </row>
    <row r="505" spans="1:6" x14ac:dyDescent="0.25">
      <c r="A505" t="s">
        <v>217</v>
      </c>
      <c r="B505" t="s">
        <v>223</v>
      </c>
      <c r="C505" t="s">
        <v>205</v>
      </c>
      <c r="E505">
        <f t="shared" si="77"/>
        <v>25</v>
      </c>
      <c r="F505" s="5">
        <f t="shared" si="77"/>
        <v>0.25</v>
      </c>
    </row>
    <row r="506" spans="1:6" x14ac:dyDescent="0.25">
      <c r="A506" t="s">
        <v>224</v>
      </c>
      <c r="B506" t="s">
        <v>225</v>
      </c>
      <c r="C506" t="s">
        <v>219</v>
      </c>
      <c r="E506">
        <f t="shared" si="77"/>
        <v>100</v>
      </c>
      <c r="F506" s="5">
        <f t="shared" si="77"/>
        <v>1</v>
      </c>
    </row>
    <row r="507" spans="1:6" x14ac:dyDescent="0.25">
      <c r="A507" t="s">
        <v>224</v>
      </c>
      <c r="B507" t="s">
        <v>225</v>
      </c>
      <c r="C507" t="s">
        <v>220</v>
      </c>
      <c r="E507">
        <f t="shared" si="77"/>
        <v>1</v>
      </c>
      <c r="F507" s="5">
        <f t="shared" si="77"/>
        <v>0.01</v>
      </c>
    </row>
    <row r="508" spans="1:6" x14ac:dyDescent="0.25">
      <c r="A508" t="s">
        <v>224</v>
      </c>
      <c r="B508" t="s">
        <v>225</v>
      </c>
      <c r="C508" t="s">
        <v>202</v>
      </c>
      <c r="E508">
        <f t="shared" si="77"/>
        <v>4</v>
      </c>
      <c r="F508" s="5">
        <f t="shared" si="77"/>
        <v>0.04</v>
      </c>
    </row>
    <row r="509" spans="1:6" x14ac:dyDescent="0.25">
      <c r="A509" t="s">
        <v>224</v>
      </c>
      <c r="B509" t="s">
        <v>225</v>
      </c>
      <c r="C509" t="s">
        <v>203</v>
      </c>
      <c r="E509">
        <f t="shared" si="77"/>
        <v>7.5</v>
      </c>
      <c r="F509" s="5">
        <f t="shared" si="77"/>
        <v>7.4999999999999997E-2</v>
      </c>
    </row>
    <row r="510" spans="1:6" x14ac:dyDescent="0.25">
      <c r="A510" t="s">
        <v>224</v>
      </c>
      <c r="B510" t="s">
        <v>225</v>
      </c>
      <c r="C510" t="s">
        <v>204</v>
      </c>
      <c r="E510">
        <f t="shared" si="77"/>
        <v>15</v>
      </c>
      <c r="F510" s="5">
        <f t="shared" si="77"/>
        <v>0.15</v>
      </c>
    </row>
    <row r="511" spans="1:6" x14ac:dyDescent="0.25">
      <c r="A511" t="s">
        <v>224</v>
      </c>
      <c r="B511" t="s">
        <v>225</v>
      </c>
      <c r="C511" t="s">
        <v>205</v>
      </c>
      <c r="E511">
        <f t="shared" si="77"/>
        <v>25</v>
      </c>
      <c r="F511" s="5">
        <f t="shared" si="77"/>
        <v>0.25</v>
      </c>
    </row>
    <row r="512" spans="1:6" x14ac:dyDescent="0.25">
      <c r="A512" t="s">
        <v>226</v>
      </c>
      <c r="B512" t="s">
        <v>227</v>
      </c>
      <c r="C512" t="s">
        <v>219</v>
      </c>
      <c r="E512">
        <f t="shared" si="77"/>
        <v>100</v>
      </c>
      <c r="F512" s="5">
        <f t="shared" si="77"/>
        <v>1</v>
      </c>
    </row>
    <row r="513" spans="1:6" x14ac:dyDescent="0.25">
      <c r="A513" t="s">
        <v>226</v>
      </c>
      <c r="B513" t="s">
        <v>227</v>
      </c>
      <c r="C513" t="s">
        <v>220</v>
      </c>
      <c r="E513">
        <f t="shared" si="77"/>
        <v>1</v>
      </c>
      <c r="F513" s="5">
        <f t="shared" si="77"/>
        <v>0.01</v>
      </c>
    </row>
    <row r="514" spans="1:6" x14ac:dyDescent="0.25">
      <c r="A514" t="s">
        <v>226</v>
      </c>
      <c r="B514" t="s">
        <v>227</v>
      </c>
      <c r="C514" t="s">
        <v>202</v>
      </c>
      <c r="E514">
        <f t="shared" si="77"/>
        <v>4</v>
      </c>
      <c r="F514" s="5">
        <f t="shared" si="77"/>
        <v>0.04</v>
      </c>
    </row>
    <row r="515" spans="1:6" x14ac:dyDescent="0.25">
      <c r="A515" t="s">
        <v>226</v>
      </c>
      <c r="B515" t="s">
        <v>227</v>
      </c>
      <c r="C515" t="s">
        <v>203</v>
      </c>
      <c r="E515">
        <f t="shared" si="77"/>
        <v>7.5</v>
      </c>
      <c r="F515" s="5">
        <f t="shared" si="77"/>
        <v>7.4999999999999997E-2</v>
      </c>
    </row>
    <row r="516" spans="1:6" x14ac:dyDescent="0.25">
      <c r="A516" t="s">
        <v>226</v>
      </c>
      <c r="B516" t="s">
        <v>227</v>
      </c>
      <c r="C516" t="s">
        <v>204</v>
      </c>
      <c r="E516">
        <f t="shared" si="77"/>
        <v>15</v>
      </c>
      <c r="F516" s="5">
        <f t="shared" si="77"/>
        <v>0.15</v>
      </c>
    </row>
    <row r="517" spans="1:6" x14ac:dyDescent="0.25">
      <c r="A517" t="s">
        <v>226</v>
      </c>
      <c r="B517" t="s">
        <v>227</v>
      </c>
      <c r="C517" t="s">
        <v>205</v>
      </c>
      <c r="E517">
        <f t="shared" si="77"/>
        <v>25</v>
      </c>
      <c r="F517" s="5">
        <f t="shared" si="77"/>
        <v>0.25</v>
      </c>
    </row>
    <row r="518" spans="1:6" x14ac:dyDescent="0.25">
      <c r="A518" t="s">
        <v>228</v>
      </c>
      <c r="B518" t="s">
        <v>229</v>
      </c>
      <c r="C518" t="s">
        <v>219</v>
      </c>
      <c r="E518">
        <f t="shared" si="77"/>
        <v>100</v>
      </c>
      <c r="F518" s="5">
        <f t="shared" si="77"/>
        <v>1</v>
      </c>
    </row>
    <row r="519" spans="1:6" x14ac:dyDescent="0.25">
      <c r="A519" t="s">
        <v>228</v>
      </c>
      <c r="B519" t="s">
        <v>229</v>
      </c>
      <c r="C519" t="s">
        <v>220</v>
      </c>
      <c r="E519">
        <f t="shared" si="77"/>
        <v>1</v>
      </c>
      <c r="F519" s="5">
        <f t="shared" si="77"/>
        <v>0.01</v>
      </c>
    </row>
    <row r="520" spans="1:6" x14ac:dyDescent="0.25">
      <c r="A520" t="s">
        <v>228</v>
      </c>
      <c r="B520" t="s">
        <v>229</v>
      </c>
      <c r="C520" t="s">
        <v>202</v>
      </c>
      <c r="E520">
        <f t="shared" si="77"/>
        <v>4</v>
      </c>
      <c r="F520" s="5">
        <f t="shared" si="77"/>
        <v>0.04</v>
      </c>
    </row>
    <row r="521" spans="1:6" x14ac:dyDescent="0.25">
      <c r="A521" t="s">
        <v>228</v>
      </c>
      <c r="B521" t="s">
        <v>229</v>
      </c>
      <c r="C521" t="s">
        <v>203</v>
      </c>
      <c r="E521">
        <f t="shared" si="77"/>
        <v>7.5</v>
      </c>
      <c r="F521" s="5">
        <f t="shared" si="77"/>
        <v>7.4999999999999997E-2</v>
      </c>
    </row>
    <row r="522" spans="1:6" x14ac:dyDescent="0.25">
      <c r="A522" t="s">
        <v>228</v>
      </c>
      <c r="B522" t="s">
        <v>229</v>
      </c>
      <c r="C522" t="s">
        <v>204</v>
      </c>
      <c r="E522">
        <f t="shared" si="77"/>
        <v>15</v>
      </c>
      <c r="F522" s="5">
        <f t="shared" si="77"/>
        <v>0.15</v>
      </c>
    </row>
    <row r="523" spans="1:6" x14ac:dyDescent="0.25">
      <c r="A523" t="s">
        <v>228</v>
      </c>
      <c r="B523" t="s">
        <v>229</v>
      </c>
      <c r="C523" t="s">
        <v>205</v>
      </c>
      <c r="E523">
        <f t="shared" si="77"/>
        <v>25</v>
      </c>
      <c r="F523" s="5">
        <f t="shared" si="77"/>
        <v>0.25</v>
      </c>
    </row>
    <row r="524" spans="1:6" x14ac:dyDescent="0.25">
      <c r="A524" t="s">
        <v>230</v>
      </c>
      <c r="B524" t="s">
        <v>231</v>
      </c>
      <c r="C524" t="s">
        <v>219</v>
      </c>
      <c r="E524">
        <f t="shared" si="77"/>
        <v>100</v>
      </c>
      <c r="F524" s="5">
        <f t="shared" si="77"/>
        <v>1</v>
      </c>
    </row>
    <row r="525" spans="1:6" x14ac:dyDescent="0.25">
      <c r="A525" t="s">
        <v>230</v>
      </c>
      <c r="B525" t="s">
        <v>231</v>
      </c>
      <c r="C525" t="s">
        <v>220</v>
      </c>
      <c r="E525">
        <f t="shared" si="77"/>
        <v>1</v>
      </c>
      <c r="F525" s="5">
        <f t="shared" si="77"/>
        <v>0.01</v>
      </c>
    </row>
    <row r="526" spans="1:6" x14ac:dyDescent="0.25">
      <c r="A526" t="s">
        <v>230</v>
      </c>
      <c r="B526" t="s">
        <v>231</v>
      </c>
      <c r="C526" t="s">
        <v>202</v>
      </c>
      <c r="E526">
        <f t="shared" si="77"/>
        <v>4</v>
      </c>
      <c r="F526" s="5">
        <f t="shared" si="77"/>
        <v>0.04</v>
      </c>
    </row>
    <row r="527" spans="1:6" x14ac:dyDescent="0.25">
      <c r="A527" t="s">
        <v>230</v>
      </c>
      <c r="B527" t="s">
        <v>231</v>
      </c>
      <c r="C527" t="s">
        <v>203</v>
      </c>
      <c r="E527">
        <f t="shared" si="77"/>
        <v>7.5</v>
      </c>
      <c r="F527" s="5">
        <f t="shared" si="77"/>
        <v>7.4999999999999997E-2</v>
      </c>
    </row>
    <row r="528" spans="1:6" x14ac:dyDescent="0.25">
      <c r="A528" t="s">
        <v>230</v>
      </c>
      <c r="B528" t="s">
        <v>231</v>
      </c>
      <c r="C528" t="s">
        <v>204</v>
      </c>
      <c r="E528">
        <f t="shared" si="77"/>
        <v>15</v>
      </c>
      <c r="F528" s="5">
        <f t="shared" si="77"/>
        <v>0.15</v>
      </c>
    </row>
    <row r="529" spans="1:6" x14ac:dyDescent="0.25">
      <c r="A529" t="s">
        <v>230</v>
      </c>
      <c r="B529" t="s">
        <v>231</v>
      </c>
      <c r="C529" t="s">
        <v>205</v>
      </c>
      <c r="E529">
        <f t="shared" si="77"/>
        <v>25</v>
      </c>
      <c r="F529" s="5">
        <f t="shared" si="77"/>
        <v>0.25</v>
      </c>
    </row>
    <row r="530" spans="1:6" s="2" customFormat="1" x14ac:dyDescent="0.25">
      <c r="A530" s="2" t="s">
        <v>232</v>
      </c>
      <c r="B530" s="2" t="s">
        <v>233</v>
      </c>
      <c r="C530" s="2">
        <v>1</v>
      </c>
      <c r="E530" s="2">
        <v>1</v>
      </c>
      <c r="F530" s="2">
        <f>E530/MAX(E$530:E$536)</f>
        <v>0.14285714285714285</v>
      </c>
    </row>
    <row r="531" spans="1:6" s="2" customFormat="1" x14ac:dyDescent="0.25">
      <c r="A531" s="2" t="s">
        <v>232</v>
      </c>
      <c r="B531" s="2" t="s">
        <v>233</v>
      </c>
      <c r="C531" s="2">
        <v>2</v>
      </c>
      <c r="E531" s="2">
        <v>2</v>
      </c>
      <c r="F531" s="2">
        <f t="shared" ref="F531:F536" si="78">E531/MAX(E$530:E$536)</f>
        <v>0.2857142857142857</v>
      </c>
    </row>
    <row r="532" spans="1:6" s="2" customFormat="1" x14ac:dyDescent="0.25">
      <c r="A532" s="2" t="s">
        <v>232</v>
      </c>
      <c r="B532" s="2" t="s">
        <v>233</v>
      </c>
      <c r="C532" s="2">
        <v>3</v>
      </c>
      <c r="E532" s="2">
        <v>3</v>
      </c>
      <c r="F532" s="2">
        <f t="shared" si="78"/>
        <v>0.42857142857142855</v>
      </c>
    </row>
    <row r="533" spans="1:6" s="2" customFormat="1" x14ac:dyDescent="0.25">
      <c r="A533" s="2" t="s">
        <v>232</v>
      </c>
      <c r="B533" s="2" t="s">
        <v>233</v>
      </c>
      <c r="C533" s="2">
        <v>4</v>
      </c>
      <c r="E533" s="2">
        <v>4</v>
      </c>
      <c r="F533" s="2">
        <f t="shared" si="78"/>
        <v>0.5714285714285714</v>
      </c>
    </row>
    <row r="534" spans="1:6" s="2" customFormat="1" x14ac:dyDescent="0.25">
      <c r="A534" s="2" t="s">
        <v>232</v>
      </c>
      <c r="B534" s="2" t="s">
        <v>233</v>
      </c>
      <c r="C534" s="2">
        <v>5</v>
      </c>
      <c r="E534" s="2">
        <v>5</v>
      </c>
      <c r="F534" s="2">
        <f t="shared" si="78"/>
        <v>0.7142857142857143</v>
      </c>
    </row>
    <row r="535" spans="1:6" s="2" customFormat="1" x14ac:dyDescent="0.25">
      <c r="A535" s="2" t="s">
        <v>232</v>
      </c>
      <c r="B535" s="2" t="s">
        <v>233</v>
      </c>
      <c r="C535" s="2">
        <v>6</v>
      </c>
      <c r="E535" s="2">
        <v>6</v>
      </c>
      <c r="F535" s="2">
        <f t="shared" si="78"/>
        <v>0.8571428571428571</v>
      </c>
    </row>
    <row r="536" spans="1:6" s="2" customFormat="1" x14ac:dyDescent="0.25">
      <c r="A536" s="2" t="s">
        <v>232</v>
      </c>
      <c r="B536" s="2" t="s">
        <v>233</v>
      </c>
      <c r="C536" s="2">
        <v>7</v>
      </c>
      <c r="E536" s="2">
        <v>7</v>
      </c>
      <c r="F536" s="2">
        <f t="shared" si="78"/>
        <v>1</v>
      </c>
    </row>
    <row r="537" spans="1:6" s="2" customFormat="1" x14ac:dyDescent="0.25">
      <c r="A537" s="2" t="s">
        <v>234</v>
      </c>
      <c r="B537" s="2" t="s">
        <v>235</v>
      </c>
      <c r="C537" s="2">
        <v>1</v>
      </c>
      <c r="E537" s="2">
        <v>1</v>
      </c>
      <c r="F537" s="2">
        <f>E537/MAX(E$537:E$543)</f>
        <v>0.14285714285714285</v>
      </c>
    </row>
    <row r="538" spans="1:6" s="2" customFormat="1" x14ac:dyDescent="0.25">
      <c r="A538" s="2" t="s">
        <v>234</v>
      </c>
      <c r="B538" s="2" t="s">
        <v>235</v>
      </c>
      <c r="C538" s="2">
        <v>2</v>
      </c>
      <c r="E538" s="2">
        <v>2</v>
      </c>
      <c r="F538" s="2">
        <f t="shared" ref="F538:F543" si="79">E538/MAX(E$537:E$543)</f>
        <v>0.2857142857142857</v>
      </c>
    </row>
    <row r="539" spans="1:6" s="2" customFormat="1" x14ac:dyDescent="0.25">
      <c r="A539" s="2" t="s">
        <v>234</v>
      </c>
      <c r="B539" s="2" t="s">
        <v>235</v>
      </c>
      <c r="C539" s="2">
        <v>3</v>
      </c>
      <c r="E539" s="2">
        <v>3</v>
      </c>
      <c r="F539" s="2">
        <f t="shared" si="79"/>
        <v>0.42857142857142855</v>
      </c>
    </row>
    <row r="540" spans="1:6" s="2" customFormat="1" x14ac:dyDescent="0.25">
      <c r="A540" s="2" t="s">
        <v>234</v>
      </c>
      <c r="B540" s="2" t="s">
        <v>235</v>
      </c>
      <c r="C540" s="2">
        <v>4</v>
      </c>
      <c r="E540" s="2">
        <v>4</v>
      </c>
      <c r="F540" s="2">
        <f t="shared" si="79"/>
        <v>0.5714285714285714</v>
      </c>
    </row>
    <row r="541" spans="1:6" s="2" customFormat="1" x14ac:dyDescent="0.25">
      <c r="A541" s="2" t="s">
        <v>234</v>
      </c>
      <c r="B541" s="2" t="s">
        <v>235</v>
      </c>
      <c r="C541" s="2">
        <v>5</v>
      </c>
      <c r="E541" s="2">
        <v>5</v>
      </c>
      <c r="F541" s="2">
        <f t="shared" si="79"/>
        <v>0.7142857142857143</v>
      </c>
    </row>
    <row r="542" spans="1:6" s="2" customFormat="1" x14ac:dyDescent="0.25">
      <c r="A542" s="2" t="s">
        <v>234</v>
      </c>
      <c r="B542" s="2" t="s">
        <v>235</v>
      </c>
      <c r="C542" s="2">
        <v>6</v>
      </c>
      <c r="E542" s="2">
        <v>6</v>
      </c>
      <c r="F542" s="2">
        <f t="shared" si="79"/>
        <v>0.8571428571428571</v>
      </c>
    </row>
    <row r="543" spans="1:6" s="2" customFormat="1" x14ac:dyDescent="0.25">
      <c r="A543" s="2" t="s">
        <v>234</v>
      </c>
      <c r="B543" s="2" t="s">
        <v>235</v>
      </c>
      <c r="C543" s="2">
        <v>7</v>
      </c>
      <c r="E543" s="2">
        <v>7</v>
      </c>
      <c r="F543" s="2">
        <f t="shared" si="79"/>
        <v>1</v>
      </c>
    </row>
    <row r="544" spans="1:6" s="2" customFormat="1" x14ac:dyDescent="0.25">
      <c r="A544" s="2" t="s">
        <v>236</v>
      </c>
      <c r="B544" s="2" t="s">
        <v>237</v>
      </c>
      <c r="C544" s="2" t="s">
        <v>4</v>
      </c>
      <c r="E544" s="2">
        <v>0</v>
      </c>
      <c r="F544" s="2">
        <f>E544/MAX(E$544:E$549)</f>
        <v>0</v>
      </c>
    </row>
    <row r="545" spans="1:6" s="2" customFormat="1" x14ac:dyDescent="0.25">
      <c r="A545" s="2" t="s">
        <v>236</v>
      </c>
      <c r="B545" s="2" t="s">
        <v>237</v>
      </c>
      <c r="C545" s="2" t="s">
        <v>238</v>
      </c>
      <c r="E545" s="2">
        <f>0.5/30</f>
        <v>1.6666666666666666E-2</v>
      </c>
      <c r="F545" s="2">
        <f t="shared" ref="F545:F549" si="80">E545/MAX(E$544:E$549)</f>
        <v>1.6666666666666666E-2</v>
      </c>
    </row>
    <row r="546" spans="1:6" s="2" customFormat="1" x14ac:dyDescent="0.25">
      <c r="A546" s="2" t="s">
        <v>236</v>
      </c>
      <c r="B546" s="2" t="s">
        <v>237</v>
      </c>
      <c r="C546" s="2" t="s">
        <v>239</v>
      </c>
      <c r="E546" s="2">
        <f>2/30</f>
        <v>6.6666666666666666E-2</v>
      </c>
      <c r="F546" s="2">
        <f t="shared" si="80"/>
        <v>6.6666666666666666E-2</v>
      </c>
    </row>
    <row r="547" spans="1:6" s="2" customFormat="1" x14ac:dyDescent="0.25">
      <c r="A547" s="2" t="s">
        <v>236</v>
      </c>
      <c r="B547" s="2" t="s">
        <v>237</v>
      </c>
      <c r="C547" s="2" t="s">
        <v>240</v>
      </c>
      <c r="E547" s="2">
        <f>1/7</f>
        <v>0.14285714285714285</v>
      </c>
      <c r="F547" s="2">
        <f t="shared" si="80"/>
        <v>0.14285714285714285</v>
      </c>
    </row>
    <row r="548" spans="1:6" s="2" customFormat="1" x14ac:dyDescent="0.25">
      <c r="A548" s="2" t="s">
        <v>236</v>
      </c>
      <c r="B548" s="2" t="s">
        <v>237</v>
      </c>
      <c r="C548" s="2" t="s">
        <v>241</v>
      </c>
      <c r="E548" s="2">
        <f>3.5/7</f>
        <v>0.5</v>
      </c>
      <c r="F548" s="2">
        <f t="shared" si="80"/>
        <v>0.5</v>
      </c>
    </row>
    <row r="549" spans="1:6" s="2" customFormat="1" x14ac:dyDescent="0.25">
      <c r="A549" s="2" t="s">
        <v>236</v>
      </c>
      <c r="B549" s="2" t="s">
        <v>237</v>
      </c>
      <c r="C549" s="2" t="s">
        <v>242</v>
      </c>
      <c r="E549" s="2">
        <v>1</v>
      </c>
      <c r="F549" s="2">
        <f t="shared" si="80"/>
        <v>1</v>
      </c>
    </row>
    <row r="550" spans="1:6" s="2" customFormat="1" x14ac:dyDescent="0.25">
      <c r="A550" s="2" t="s">
        <v>243</v>
      </c>
      <c r="B550" s="2" t="s">
        <v>244</v>
      </c>
      <c r="C550" s="2" t="s">
        <v>245</v>
      </c>
      <c r="E550" s="2">
        <v>6</v>
      </c>
      <c r="F550" s="2">
        <f>E550/MAX(E$550:E$554)</f>
        <v>1</v>
      </c>
    </row>
    <row r="551" spans="1:6" s="2" customFormat="1" x14ac:dyDescent="0.25">
      <c r="A551" s="2" t="s">
        <v>243</v>
      </c>
      <c r="B551" s="2" t="s">
        <v>244</v>
      </c>
      <c r="C551" s="2" t="s">
        <v>246</v>
      </c>
      <c r="E551" s="2">
        <v>1</v>
      </c>
      <c r="F551" s="2">
        <f t="shared" ref="F551:F554" si="81">E551/MAX(E$550:E$554)</f>
        <v>0.16666666666666666</v>
      </c>
    </row>
    <row r="552" spans="1:6" s="2" customFormat="1" x14ac:dyDescent="0.25">
      <c r="A552" s="2" t="s">
        <v>243</v>
      </c>
      <c r="B552" s="2" t="s">
        <v>244</v>
      </c>
      <c r="C552" s="2" t="s">
        <v>247</v>
      </c>
      <c r="E552" s="2">
        <v>0.5</v>
      </c>
      <c r="F552" s="2">
        <f t="shared" si="81"/>
        <v>8.3333333333333329E-2</v>
      </c>
    </row>
    <row r="553" spans="1:6" s="2" customFormat="1" x14ac:dyDescent="0.25">
      <c r="A553" s="2" t="s">
        <v>243</v>
      </c>
      <c r="B553" s="2" t="s">
        <v>244</v>
      </c>
      <c r="C553" s="2" t="s">
        <v>248</v>
      </c>
      <c r="E553" s="2">
        <v>0.25</v>
      </c>
      <c r="F553" s="2">
        <f t="shared" si="81"/>
        <v>4.1666666666666664E-2</v>
      </c>
    </row>
    <row r="554" spans="1:6" s="2" customFormat="1" x14ac:dyDescent="0.25">
      <c r="A554" s="2" t="s">
        <v>243</v>
      </c>
      <c r="B554" s="2" t="s">
        <v>244</v>
      </c>
      <c r="C554" s="2" t="s">
        <v>249</v>
      </c>
      <c r="E554" s="2">
        <v>0</v>
      </c>
      <c r="F554" s="2">
        <f t="shared" si="81"/>
        <v>0</v>
      </c>
    </row>
    <row r="555" spans="1:6" x14ac:dyDescent="0.25">
      <c r="A555" t="s">
        <v>250</v>
      </c>
      <c r="B555" t="s">
        <v>251</v>
      </c>
      <c r="C555" t="s">
        <v>245</v>
      </c>
      <c r="E555">
        <f>E550</f>
        <v>6</v>
      </c>
      <c r="F555" s="5">
        <f>F550</f>
        <v>1</v>
      </c>
    </row>
    <row r="556" spans="1:6" x14ac:dyDescent="0.25">
      <c r="A556" t="s">
        <v>250</v>
      </c>
      <c r="B556" t="s">
        <v>251</v>
      </c>
      <c r="C556" t="s">
        <v>246</v>
      </c>
      <c r="E556">
        <f t="shared" ref="E556:F564" si="82">E551</f>
        <v>1</v>
      </c>
      <c r="F556" s="5">
        <f t="shared" si="82"/>
        <v>0.16666666666666666</v>
      </c>
    </row>
    <row r="557" spans="1:6" x14ac:dyDescent="0.25">
      <c r="A557" t="s">
        <v>250</v>
      </c>
      <c r="B557" t="s">
        <v>251</v>
      </c>
      <c r="C557" t="s">
        <v>247</v>
      </c>
      <c r="E557">
        <f t="shared" si="82"/>
        <v>0.5</v>
      </c>
      <c r="F557" s="5">
        <f t="shared" si="82"/>
        <v>8.3333333333333329E-2</v>
      </c>
    </row>
    <row r="558" spans="1:6" x14ac:dyDescent="0.25">
      <c r="A558" t="s">
        <v>250</v>
      </c>
      <c r="B558" t="s">
        <v>251</v>
      </c>
      <c r="C558" t="s">
        <v>248</v>
      </c>
      <c r="E558">
        <f t="shared" si="82"/>
        <v>0.25</v>
      </c>
      <c r="F558" s="5">
        <f t="shared" si="82"/>
        <v>4.1666666666666664E-2</v>
      </c>
    </row>
    <row r="559" spans="1:6" x14ac:dyDescent="0.25">
      <c r="A559" t="s">
        <v>250</v>
      </c>
      <c r="B559" t="s">
        <v>251</v>
      </c>
      <c r="C559" t="s">
        <v>249</v>
      </c>
      <c r="E559">
        <f t="shared" si="82"/>
        <v>0</v>
      </c>
      <c r="F559" s="5">
        <f t="shared" si="82"/>
        <v>0</v>
      </c>
    </row>
    <row r="560" spans="1:6" x14ac:dyDescent="0.25">
      <c r="A560" t="s">
        <v>252</v>
      </c>
      <c r="B560" t="s">
        <v>253</v>
      </c>
      <c r="C560" t="s">
        <v>245</v>
      </c>
      <c r="E560">
        <f t="shared" si="82"/>
        <v>6</v>
      </c>
      <c r="F560" s="5">
        <f t="shared" si="82"/>
        <v>1</v>
      </c>
    </row>
    <row r="561" spans="1:6" x14ac:dyDescent="0.25">
      <c r="A561" t="s">
        <v>252</v>
      </c>
      <c r="B561" t="s">
        <v>253</v>
      </c>
      <c r="C561" t="s">
        <v>246</v>
      </c>
      <c r="E561">
        <f t="shared" si="82"/>
        <v>1</v>
      </c>
      <c r="F561" s="5">
        <f t="shared" si="82"/>
        <v>0.16666666666666666</v>
      </c>
    </row>
    <row r="562" spans="1:6" x14ac:dyDescent="0.25">
      <c r="A562" t="s">
        <v>252</v>
      </c>
      <c r="B562" t="s">
        <v>253</v>
      </c>
      <c r="C562" t="s">
        <v>247</v>
      </c>
      <c r="E562">
        <f t="shared" si="82"/>
        <v>0.5</v>
      </c>
      <c r="F562" s="5">
        <f t="shared" si="82"/>
        <v>8.3333333333333329E-2</v>
      </c>
    </row>
    <row r="563" spans="1:6" x14ac:dyDescent="0.25">
      <c r="A563" t="s">
        <v>252</v>
      </c>
      <c r="B563" t="s">
        <v>253</v>
      </c>
      <c r="C563" t="s">
        <v>248</v>
      </c>
      <c r="E563">
        <f t="shared" si="82"/>
        <v>0.25</v>
      </c>
      <c r="F563" s="5">
        <f t="shared" si="82"/>
        <v>4.1666666666666664E-2</v>
      </c>
    </row>
    <row r="564" spans="1:6" x14ac:dyDescent="0.25">
      <c r="A564" t="s">
        <v>252</v>
      </c>
      <c r="B564" t="s">
        <v>253</v>
      </c>
      <c r="C564" t="s">
        <v>249</v>
      </c>
      <c r="E564">
        <f t="shared" si="82"/>
        <v>0</v>
      </c>
      <c r="F564" s="5">
        <f t="shared" si="82"/>
        <v>0</v>
      </c>
    </row>
    <row r="565" spans="1:6" s="2" customFormat="1" x14ac:dyDescent="0.25">
      <c r="A565" s="2" t="s">
        <v>254</v>
      </c>
      <c r="B565" s="2" t="s">
        <v>255</v>
      </c>
      <c r="C565" s="2" t="s">
        <v>256</v>
      </c>
      <c r="E565" s="2">
        <f>1/0.5</f>
        <v>2</v>
      </c>
      <c r="F565" s="2">
        <f>E565/MAX(E$565:E$574)</f>
        <v>1</v>
      </c>
    </row>
    <row r="566" spans="1:6" s="2" customFormat="1" x14ac:dyDescent="0.25">
      <c r="A566" s="2" t="s">
        <v>254</v>
      </c>
      <c r="B566" s="2" t="s">
        <v>255</v>
      </c>
      <c r="C566" s="2" t="s">
        <v>257</v>
      </c>
      <c r="E566" s="2">
        <f>1/1</f>
        <v>1</v>
      </c>
      <c r="F566" s="2">
        <f t="shared" ref="F566:F574" si="83">E566/MAX(E$565:E$574)</f>
        <v>0.5</v>
      </c>
    </row>
    <row r="567" spans="1:6" s="2" customFormat="1" x14ac:dyDescent="0.25">
      <c r="A567" s="2" t="s">
        <v>254</v>
      </c>
      <c r="B567" s="2" t="s">
        <v>255</v>
      </c>
      <c r="C567" s="2" t="s">
        <v>258</v>
      </c>
      <c r="E567" s="2">
        <f>1/2</f>
        <v>0.5</v>
      </c>
      <c r="F567" s="2">
        <f t="shared" si="83"/>
        <v>0.25</v>
      </c>
    </row>
    <row r="568" spans="1:6" s="2" customFormat="1" x14ac:dyDescent="0.25">
      <c r="A568" s="2" t="s">
        <v>254</v>
      </c>
      <c r="B568" s="2" t="s">
        <v>255</v>
      </c>
      <c r="C568" s="2" t="s">
        <v>259</v>
      </c>
      <c r="E568" s="2">
        <f>1/7</f>
        <v>0.14285714285714285</v>
      </c>
      <c r="F568" s="2">
        <f t="shared" si="83"/>
        <v>7.1428571428571425E-2</v>
      </c>
    </row>
    <row r="569" spans="1:6" s="2" customFormat="1" x14ac:dyDescent="0.25">
      <c r="A569" s="2" t="s">
        <v>254</v>
      </c>
      <c r="B569" s="2" t="s">
        <v>255</v>
      </c>
      <c r="C569" s="2" t="s">
        <v>260</v>
      </c>
      <c r="E569" s="2">
        <f>1/30</f>
        <v>3.3333333333333333E-2</v>
      </c>
      <c r="F569" s="2">
        <f t="shared" si="83"/>
        <v>1.6666666666666666E-2</v>
      </c>
    </row>
    <row r="570" spans="1:6" s="2" customFormat="1" x14ac:dyDescent="0.25">
      <c r="A570" s="2" t="s">
        <v>254</v>
      </c>
      <c r="B570" s="2" t="s">
        <v>255</v>
      </c>
      <c r="C570" s="2" t="s">
        <v>261</v>
      </c>
      <c r="E570" s="2">
        <f>1/180</f>
        <v>5.5555555555555558E-3</v>
      </c>
      <c r="F570" s="2">
        <f t="shared" si="83"/>
        <v>2.7777777777777779E-3</v>
      </c>
    </row>
    <row r="571" spans="1:6" s="2" customFormat="1" x14ac:dyDescent="0.25">
      <c r="A571" s="2" t="s">
        <v>254</v>
      </c>
      <c r="B571" s="2" t="s">
        <v>255</v>
      </c>
      <c r="C571" s="2" t="s">
        <v>262</v>
      </c>
      <c r="E571" s="2">
        <f>1/(2*12*30)</f>
        <v>1.3888888888888889E-3</v>
      </c>
      <c r="F571" s="2">
        <f t="shared" si="83"/>
        <v>6.9444444444444447E-4</v>
      </c>
    </row>
    <row r="572" spans="1:6" s="2" customFormat="1" x14ac:dyDescent="0.25">
      <c r="A572" s="2" t="s">
        <v>254</v>
      </c>
      <c r="B572" s="2" t="s">
        <v>255</v>
      </c>
      <c r="C572" s="2" t="s">
        <v>263</v>
      </c>
      <c r="E572" s="2">
        <f>1/(10*12*30)</f>
        <v>2.7777777777777778E-4</v>
      </c>
      <c r="F572" s="2">
        <f t="shared" si="83"/>
        <v>1.3888888888888889E-4</v>
      </c>
    </row>
    <row r="573" spans="1:6" s="2" customFormat="1" x14ac:dyDescent="0.25">
      <c r="A573" s="2" t="s">
        <v>254</v>
      </c>
      <c r="B573" s="2" t="s">
        <v>255</v>
      </c>
      <c r="C573" s="2" t="s">
        <v>264</v>
      </c>
      <c r="E573" s="2">
        <f>1/(20*12*30)</f>
        <v>1.3888888888888889E-4</v>
      </c>
      <c r="F573" s="2">
        <f t="shared" si="83"/>
        <v>6.9444444444444444E-5</v>
      </c>
    </row>
    <row r="574" spans="1:6" s="2" customFormat="1" x14ac:dyDescent="0.25">
      <c r="A574" s="2" t="s">
        <v>254</v>
      </c>
      <c r="B574" s="2" t="s">
        <v>255</v>
      </c>
      <c r="C574" s="2" t="s">
        <v>4</v>
      </c>
      <c r="E574" s="2">
        <v>0</v>
      </c>
      <c r="F574" s="2">
        <f t="shared" si="83"/>
        <v>0</v>
      </c>
    </row>
    <row r="575" spans="1:6" x14ac:dyDescent="0.25">
      <c r="A575" t="s">
        <v>265</v>
      </c>
      <c r="B575" t="s">
        <v>266</v>
      </c>
      <c r="C575" t="s">
        <v>256</v>
      </c>
      <c r="E575">
        <f>E565</f>
        <v>2</v>
      </c>
      <c r="F575" s="5">
        <f>F565</f>
        <v>1</v>
      </c>
    </row>
    <row r="576" spans="1:6" x14ac:dyDescent="0.25">
      <c r="A576" t="s">
        <v>265</v>
      </c>
      <c r="B576" t="s">
        <v>266</v>
      </c>
      <c r="C576" t="s">
        <v>257</v>
      </c>
      <c r="E576">
        <f t="shared" ref="E576:F639" si="84">E566</f>
        <v>1</v>
      </c>
      <c r="F576" s="5">
        <f t="shared" si="84"/>
        <v>0.5</v>
      </c>
    </row>
    <row r="577" spans="1:6" x14ac:dyDescent="0.25">
      <c r="A577" t="s">
        <v>265</v>
      </c>
      <c r="B577" t="s">
        <v>266</v>
      </c>
      <c r="C577" t="s">
        <v>258</v>
      </c>
      <c r="E577">
        <f t="shared" si="84"/>
        <v>0.5</v>
      </c>
      <c r="F577" s="5">
        <f t="shared" si="84"/>
        <v>0.25</v>
      </c>
    </row>
    <row r="578" spans="1:6" x14ac:dyDescent="0.25">
      <c r="A578" t="s">
        <v>265</v>
      </c>
      <c r="B578" t="s">
        <v>266</v>
      </c>
      <c r="C578" t="s">
        <v>259</v>
      </c>
      <c r="E578">
        <f t="shared" si="84"/>
        <v>0.14285714285714285</v>
      </c>
      <c r="F578" s="5">
        <f t="shared" si="84"/>
        <v>7.1428571428571425E-2</v>
      </c>
    </row>
    <row r="579" spans="1:6" x14ac:dyDescent="0.25">
      <c r="A579" t="s">
        <v>265</v>
      </c>
      <c r="B579" t="s">
        <v>266</v>
      </c>
      <c r="C579" t="s">
        <v>260</v>
      </c>
      <c r="E579">
        <f t="shared" si="84"/>
        <v>3.3333333333333333E-2</v>
      </c>
      <c r="F579" s="5">
        <f t="shared" si="84"/>
        <v>1.6666666666666666E-2</v>
      </c>
    </row>
    <row r="580" spans="1:6" x14ac:dyDescent="0.25">
      <c r="A580" t="s">
        <v>265</v>
      </c>
      <c r="B580" t="s">
        <v>266</v>
      </c>
      <c r="C580" t="s">
        <v>261</v>
      </c>
      <c r="E580">
        <f t="shared" si="84"/>
        <v>5.5555555555555558E-3</v>
      </c>
      <c r="F580" s="5">
        <f t="shared" si="84"/>
        <v>2.7777777777777779E-3</v>
      </c>
    </row>
    <row r="581" spans="1:6" x14ac:dyDescent="0.25">
      <c r="A581" t="s">
        <v>265</v>
      </c>
      <c r="B581" t="s">
        <v>266</v>
      </c>
      <c r="C581" t="s">
        <v>262</v>
      </c>
      <c r="E581">
        <f t="shared" si="84"/>
        <v>1.3888888888888889E-3</v>
      </c>
      <c r="F581" s="5">
        <f t="shared" si="84"/>
        <v>6.9444444444444447E-4</v>
      </c>
    </row>
    <row r="582" spans="1:6" x14ac:dyDescent="0.25">
      <c r="A582" t="s">
        <v>265</v>
      </c>
      <c r="B582" t="s">
        <v>266</v>
      </c>
      <c r="C582" t="s">
        <v>263</v>
      </c>
      <c r="E582">
        <f t="shared" si="84"/>
        <v>2.7777777777777778E-4</v>
      </c>
      <c r="F582" s="5">
        <f t="shared" si="84"/>
        <v>1.3888888888888889E-4</v>
      </c>
    </row>
    <row r="583" spans="1:6" x14ac:dyDescent="0.25">
      <c r="A583" t="s">
        <v>265</v>
      </c>
      <c r="B583" t="s">
        <v>266</v>
      </c>
      <c r="C583" t="s">
        <v>264</v>
      </c>
      <c r="E583">
        <f t="shared" si="84"/>
        <v>1.3888888888888889E-4</v>
      </c>
      <c r="F583" s="5">
        <f t="shared" si="84"/>
        <v>6.9444444444444444E-5</v>
      </c>
    </row>
    <row r="584" spans="1:6" x14ac:dyDescent="0.25">
      <c r="A584" t="s">
        <v>265</v>
      </c>
      <c r="B584" t="s">
        <v>266</v>
      </c>
      <c r="C584" t="s">
        <v>4</v>
      </c>
      <c r="E584">
        <f t="shared" si="84"/>
        <v>0</v>
      </c>
      <c r="F584" s="5">
        <f t="shared" si="84"/>
        <v>0</v>
      </c>
    </row>
    <row r="585" spans="1:6" x14ac:dyDescent="0.25">
      <c r="A585" t="s">
        <v>267</v>
      </c>
      <c r="B585" t="s">
        <v>268</v>
      </c>
      <c r="C585" t="s">
        <v>256</v>
      </c>
      <c r="E585">
        <f t="shared" si="84"/>
        <v>2</v>
      </c>
      <c r="F585" s="5">
        <f t="shared" si="84"/>
        <v>1</v>
      </c>
    </row>
    <row r="586" spans="1:6" x14ac:dyDescent="0.25">
      <c r="A586" t="s">
        <v>267</v>
      </c>
      <c r="B586" t="s">
        <v>268</v>
      </c>
      <c r="C586" t="s">
        <v>257</v>
      </c>
      <c r="E586">
        <f t="shared" si="84"/>
        <v>1</v>
      </c>
      <c r="F586" s="5">
        <f t="shared" si="84"/>
        <v>0.5</v>
      </c>
    </row>
    <row r="587" spans="1:6" x14ac:dyDescent="0.25">
      <c r="A587" t="s">
        <v>267</v>
      </c>
      <c r="B587" t="s">
        <v>268</v>
      </c>
      <c r="C587" t="s">
        <v>258</v>
      </c>
      <c r="E587">
        <f t="shared" si="84"/>
        <v>0.5</v>
      </c>
      <c r="F587" s="5">
        <f t="shared" si="84"/>
        <v>0.25</v>
      </c>
    </row>
    <row r="588" spans="1:6" x14ac:dyDescent="0.25">
      <c r="A588" t="s">
        <v>267</v>
      </c>
      <c r="B588" t="s">
        <v>268</v>
      </c>
      <c r="C588" t="s">
        <v>259</v>
      </c>
      <c r="E588">
        <f t="shared" si="84"/>
        <v>0.14285714285714285</v>
      </c>
      <c r="F588" s="5">
        <f t="shared" si="84"/>
        <v>7.1428571428571425E-2</v>
      </c>
    </row>
    <row r="589" spans="1:6" x14ac:dyDescent="0.25">
      <c r="A589" t="s">
        <v>267</v>
      </c>
      <c r="B589" t="s">
        <v>268</v>
      </c>
      <c r="C589" t="s">
        <v>260</v>
      </c>
      <c r="E589">
        <f t="shared" si="84"/>
        <v>3.3333333333333333E-2</v>
      </c>
      <c r="F589" s="5">
        <f t="shared" si="84"/>
        <v>1.6666666666666666E-2</v>
      </c>
    </row>
    <row r="590" spans="1:6" x14ac:dyDescent="0.25">
      <c r="A590" t="s">
        <v>267</v>
      </c>
      <c r="B590" t="s">
        <v>268</v>
      </c>
      <c r="C590" t="s">
        <v>261</v>
      </c>
      <c r="E590">
        <f t="shared" si="84"/>
        <v>5.5555555555555558E-3</v>
      </c>
      <c r="F590" s="5">
        <f t="shared" si="84"/>
        <v>2.7777777777777779E-3</v>
      </c>
    </row>
    <row r="591" spans="1:6" x14ac:dyDescent="0.25">
      <c r="A591" t="s">
        <v>267</v>
      </c>
      <c r="B591" t="s">
        <v>268</v>
      </c>
      <c r="C591" t="s">
        <v>262</v>
      </c>
      <c r="E591">
        <f t="shared" si="84"/>
        <v>1.3888888888888889E-3</v>
      </c>
      <c r="F591" s="5">
        <f t="shared" si="84"/>
        <v>6.9444444444444447E-4</v>
      </c>
    </row>
    <row r="592" spans="1:6" x14ac:dyDescent="0.25">
      <c r="A592" t="s">
        <v>267</v>
      </c>
      <c r="B592" t="s">
        <v>268</v>
      </c>
      <c r="C592" t="s">
        <v>263</v>
      </c>
      <c r="E592">
        <f t="shared" si="84"/>
        <v>2.7777777777777778E-4</v>
      </c>
      <c r="F592" s="5">
        <f t="shared" si="84"/>
        <v>1.3888888888888889E-4</v>
      </c>
    </row>
    <row r="593" spans="1:6" x14ac:dyDescent="0.25">
      <c r="A593" t="s">
        <v>267</v>
      </c>
      <c r="B593" t="s">
        <v>268</v>
      </c>
      <c r="C593" t="s">
        <v>264</v>
      </c>
      <c r="E593">
        <f t="shared" si="84"/>
        <v>1.3888888888888889E-4</v>
      </c>
      <c r="F593" s="5">
        <f t="shared" si="84"/>
        <v>6.9444444444444444E-5</v>
      </c>
    </row>
    <row r="594" spans="1:6" x14ac:dyDescent="0.25">
      <c r="A594" t="s">
        <v>267</v>
      </c>
      <c r="B594" t="s">
        <v>268</v>
      </c>
      <c r="C594" t="s">
        <v>4</v>
      </c>
      <c r="E594">
        <f t="shared" si="84"/>
        <v>0</v>
      </c>
      <c r="F594" s="5">
        <f t="shared" si="84"/>
        <v>0</v>
      </c>
    </row>
    <row r="595" spans="1:6" x14ac:dyDescent="0.25">
      <c r="A595" t="s">
        <v>269</v>
      </c>
      <c r="B595" t="s">
        <v>270</v>
      </c>
      <c r="C595" t="s">
        <v>256</v>
      </c>
      <c r="E595">
        <f t="shared" si="84"/>
        <v>2</v>
      </c>
      <c r="F595" s="5">
        <f t="shared" si="84"/>
        <v>1</v>
      </c>
    </row>
    <row r="596" spans="1:6" x14ac:dyDescent="0.25">
      <c r="A596" t="s">
        <v>269</v>
      </c>
      <c r="B596" t="s">
        <v>270</v>
      </c>
      <c r="C596" t="s">
        <v>257</v>
      </c>
      <c r="E596">
        <f t="shared" si="84"/>
        <v>1</v>
      </c>
      <c r="F596" s="5">
        <f t="shared" si="84"/>
        <v>0.5</v>
      </c>
    </row>
    <row r="597" spans="1:6" x14ac:dyDescent="0.25">
      <c r="A597" t="s">
        <v>269</v>
      </c>
      <c r="B597" t="s">
        <v>270</v>
      </c>
      <c r="C597" t="s">
        <v>258</v>
      </c>
      <c r="E597">
        <f t="shared" si="84"/>
        <v>0.5</v>
      </c>
      <c r="F597" s="5">
        <f t="shared" si="84"/>
        <v>0.25</v>
      </c>
    </row>
    <row r="598" spans="1:6" x14ac:dyDescent="0.25">
      <c r="A598" t="s">
        <v>269</v>
      </c>
      <c r="B598" t="s">
        <v>270</v>
      </c>
      <c r="C598" t="s">
        <v>259</v>
      </c>
      <c r="E598">
        <f t="shared" si="84"/>
        <v>0.14285714285714285</v>
      </c>
      <c r="F598" s="5">
        <f t="shared" si="84"/>
        <v>7.1428571428571425E-2</v>
      </c>
    </row>
    <row r="599" spans="1:6" x14ac:dyDescent="0.25">
      <c r="A599" t="s">
        <v>269</v>
      </c>
      <c r="B599" t="s">
        <v>270</v>
      </c>
      <c r="C599" t="s">
        <v>260</v>
      </c>
      <c r="E599">
        <f t="shared" si="84"/>
        <v>3.3333333333333333E-2</v>
      </c>
      <c r="F599" s="5">
        <f t="shared" si="84"/>
        <v>1.6666666666666666E-2</v>
      </c>
    </row>
    <row r="600" spans="1:6" x14ac:dyDescent="0.25">
      <c r="A600" t="s">
        <v>269</v>
      </c>
      <c r="B600" t="s">
        <v>270</v>
      </c>
      <c r="C600" t="s">
        <v>261</v>
      </c>
      <c r="E600">
        <f t="shared" si="84"/>
        <v>5.5555555555555558E-3</v>
      </c>
      <c r="F600" s="5">
        <f t="shared" si="84"/>
        <v>2.7777777777777779E-3</v>
      </c>
    </row>
    <row r="601" spans="1:6" x14ac:dyDescent="0.25">
      <c r="A601" t="s">
        <v>269</v>
      </c>
      <c r="B601" t="s">
        <v>270</v>
      </c>
      <c r="C601" t="s">
        <v>262</v>
      </c>
      <c r="E601">
        <f t="shared" si="84"/>
        <v>1.3888888888888889E-3</v>
      </c>
      <c r="F601" s="5">
        <f t="shared" si="84"/>
        <v>6.9444444444444447E-4</v>
      </c>
    </row>
    <row r="602" spans="1:6" x14ac:dyDescent="0.25">
      <c r="A602" t="s">
        <v>269</v>
      </c>
      <c r="B602" t="s">
        <v>270</v>
      </c>
      <c r="C602" t="s">
        <v>263</v>
      </c>
      <c r="E602">
        <f t="shared" si="84"/>
        <v>2.7777777777777778E-4</v>
      </c>
      <c r="F602" s="5">
        <f t="shared" si="84"/>
        <v>1.3888888888888889E-4</v>
      </c>
    </row>
    <row r="603" spans="1:6" x14ac:dyDescent="0.25">
      <c r="A603" t="s">
        <v>269</v>
      </c>
      <c r="B603" t="s">
        <v>270</v>
      </c>
      <c r="C603" t="s">
        <v>264</v>
      </c>
      <c r="E603">
        <f t="shared" si="84"/>
        <v>1.3888888888888889E-4</v>
      </c>
      <c r="F603" s="5">
        <f t="shared" si="84"/>
        <v>6.9444444444444444E-5</v>
      </c>
    </row>
    <row r="604" spans="1:6" x14ac:dyDescent="0.25">
      <c r="A604" t="s">
        <v>269</v>
      </c>
      <c r="B604" t="s">
        <v>270</v>
      </c>
      <c r="C604" t="s">
        <v>4</v>
      </c>
      <c r="E604">
        <f t="shared" si="84"/>
        <v>0</v>
      </c>
      <c r="F604" s="5">
        <f t="shared" si="84"/>
        <v>0</v>
      </c>
    </row>
    <row r="605" spans="1:6" x14ac:dyDescent="0.25">
      <c r="A605" t="s">
        <v>271</v>
      </c>
      <c r="B605" t="s">
        <v>272</v>
      </c>
      <c r="C605" t="s">
        <v>256</v>
      </c>
      <c r="E605">
        <f t="shared" si="84"/>
        <v>2</v>
      </c>
      <c r="F605" s="5">
        <f t="shared" si="84"/>
        <v>1</v>
      </c>
    </row>
    <row r="606" spans="1:6" x14ac:dyDescent="0.25">
      <c r="A606" t="s">
        <v>271</v>
      </c>
      <c r="B606" t="s">
        <v>272</v>
      </c>
      <c r="C606" t="s">
        <v>257</v>
      </c>
      <c r="E606">
        <f t="shared" si="84"/>
        <v>1</v>
      </c>
      <c r="F606" s="5">
        <f t="shared" si="84"/>
        <v>0.5</v>
      </c>
    </row>
    <row r="607" spans="1:6" x14ac:dyDescent="0.25">
      <c r="A607" t="s">
        <v>271</v>
      </c>
      <c r="B607" t="s">
        <v>272</v>
      </c>
      <c r="C607" t="s">
        <v>258</v>
      </c>
      <c r="E607">
        <f t="shared" si="84"/>
        <v>0.5</v>
      </c>
      <c r="F607" s="5">
        <f t="shared" si="84"/>
        <v>0.25</v>
      </c>
    </row>
    <row r="608" spans="1:6" x14ac:dyDescent="0.25">
      <c r="A608" t="s">
        <v>271</v>
      </c>
      <c r="B608" t="s">
        <v>272</v>
      </c>
      <c r="C608" t="s">
        <v>259</v>
      </c>
      <c r="E608">
        <f t="shared" si="84"/>
        <v>0.14285714285714285</v>
      </c>
      <c r="F608" s="5">
        <f t="shared" si="84"/>
        <v>7.1428571428571425E-2</v>
      </c>
    </row>
    <row r="609" spans="1:6" x14ac:dyDescent="0.25">
      <c r="A609" t="s">
        <v>271</v>
      </c>
      <c r="B609" t="s">
        <v>272</v>
      </c>
      <c r="C609" t="s">
        <v>260</v>
      </c>
      <c r="E609">
        <f t="shared" si="84"/>
        <v>3.3333333333333333E-2</v>
      </c>
      <c r="F609" s="5">
        <f t="shared" si="84"/>
        <v>1.6666666666666666E-2</v>
      </c>
    </row>
    <row r="610" spans="1:6" x14ac:dyDescent="0.25">
      <c r="A610" t="s">
        <v>271</v>
      </c>
      <c r="B610" t="s">
        <v>272</v>
      </c>
      <c r="C610" t="s">
        <v>261</v>
      </c>
      <c r="E610">
        <f t="shared" si="84"/>
        <v>5.5555555555555558E-3</v>
      </c>
      <c r="F610" s="5">
        <f t="shared" si="84"/>
        <v>2.7777777777777779E-3</v>
      </c>
    </row>
    <row r="611" spans="1:6" x14ac:dyDescent="0.25">
      <c r="A611" t="s">
        <v>271</v>
      </c>
      <c r="B611" t="s">
        <v>272</v>
      </c>
      <c r="C611" t="s">
        <v>262</v>
      </c>
      <c r="E611">
        <f t="shared" si="84"/>
        <v>1.3888888888888889E-3</v>
      </c>
      <c r="F611" s="5">
        <f t="shared" si="84"/>
        <v>6.9444444444444447E-4</v>
      </c>
    </row>
    <row r="612" spans="1:6" x14ac:dyDescent="0.25">
      <c r="A612" t="s">
        <v>271</v>
      </c>
      <c r="B612" t="s">
        <v>272</v>
      </c>
      <c r="C612" t="s">
        <v>263</v>
      </c>
      <c r="E612">
        <f t="shared" si="84"/>
        <v>2.7777777777777778E-4</v>
      </c>
      <c r="F612" s="5">
        <f t="shared" si="84"/>
        <v>1.3888888888888889E-4</v>
      </c>
    </row>
    <row r="613" spans="1:6" x14ac:dyDescent="0.25">
      <c r="A613" t="s">
        <v>271</v>
      </c>
      <c r="B613" t="s">
        <v>272</v>
      </c>
      <c r="C613" t="s">
        <v>264</v>
      </c>
      <c r="E613">
        <f t="shared" si="84"/>
        <v>1.3888888888888889E-4</v>
      </c>
      <c r="F613" s="5">
        <f t="shared" si="84"/>
        <v>6.9444444444444444E-5</v>
      </c>
    </row>
    <row r="614" spans="1:6" x14ac:dyDescent="0.25">
      <c r="A614" t="s">
        <v>271</v>
      </c>
      <c r="B614" t="s">
        <v>272</v>
      </c>
      <c r="C614" t="s">
        <v>4</v>
      </c>
      <c r="E614">
        <f t="shared" si="84"/>
        <v>0</v>
      </c>
      <c r="F614" s="5">
        <f t="shared" si="84"/>
        <v>0</v>
      </c>
    </row>
    <row r="615" spans="1:6" x14ac:dyDescent="0.25">
      <c r="A615" t="s">
        <v>273</v>
      </c>
      <c r="B615" t="s">
        <v>274</v>
      </c>
      <c r="C615" t="s">
        <v>256</v>
      </c>
      <c r="E615">
        <f t="shared" si="84"/>
        <v>2</v>
      </c>
      <c r="F615" s="5">
        <f t="shared" si="84"/>
        <v>1</v>
      </c>
    </row>
    <row r="616" spans="1:6" x14ac:dyDescent="0.25">
      <c r="A616" t="s">
        <v>273</v>
      </c>
      <c r="B616" t="s">
        <v>274</v>
      </c>
      <c r="C616" t="s">
        <v>257</v>
      </c>
      <c r="E616">
        <f t="shared" si="84"/>
        <v>1</v>
      </c>
      <c r="F616" s="5">
        <f t="shared" si="84"/>
        <v>0.5</v>
      </c>
    </row>
    <row r="617" spans="1:6" x14ac:dyDescent="0.25">
      <c r="A617" t="s">
        <v>273</v>
      </c>
      <c r="B617" t="s">
        <v>274</v>
      </c>
      <c r="C617" t="s">
        <v>258</v>
      </c>
      <c r="E617">
        <f t="shared" si="84"/>
        <v>0.5</v>
      </c>
      <c r="F617" s="5">
        <f t="shared" si="84"/>
        <v>0.25</v>
      </c>
    </row>
    <row r="618" spans="1:6" x14ac:dyDescent="0.25">
      <c r="A618" t="s">
        <v>273</v>
      </c>
      <c r="B618" t="s">
        <v>274</v>
      </c>
      <c r="C618" t="s">
        <v>259</v>
      </c>
      <c r="E618">
        <f t="shared" si="84"/>
        <v>0.14285714285714285</v>
      </c>
      <c r="F618" s="5">
        <f t="shared" si="84"/>
        <v>7.1428571428571425E-2</v>
      </c>
    </row>
    <row r="619" spans="1:6" x14ac:dyDescent="0.25">
      <c r="A619" t="s">
        <v>273</v>
      </c>
      <c r="B619" t="s">
        <v>274</v>
      </c>
      <c r="C619" t="s">
        <v>260</v>
      </c>
      <c r="E619">
        <f t="shared" si="84"/>
        <v>3.3333333333333333E-2</v>
      </c>
      <c r="F619" s="5">
        <f t="shared" si="84"/>
        <v>1.6666666666666666E-2</v>
      </c>
    </row>
    <row r="620" spans="1:6" x14ac:dyDescent="0.25">
      <c r="A620" t="s">
        <v>273</v>
      </c>
      <c r="B620" t="s">
        <v>274</v>
      </c>
      <c r="C620" t="s">
        <v>261</v>
      </c>
      <c r="E620">
        <f t="shared" si="84"/>
        <v>5.5555555555555558E-3</v>
      </c>
      <c r="F620" s="5">
        <f t="shared" si="84"/>
        <v>2.7777777777777779E-3</v>
      </c>
    </row>
    <row r="621" spans="1:6" x14ac:dyDescent="0.25">
      <c r="A621" t="s">
        <v>273</v>
      </c>
      <c r="B621" t="s">
        <v>274</v>
      </c>
      <c r="C621" t="s">
        <v>262</v>
      </c>
      <c r="E621">
        <f t="shared" si="84"/>
        <v>1.3888888888888889E-3</v>
      </c>
      <c r="F621" s="5">
        <f t="shared" si="84"/>
        <v>6.9444444444444447E-4</v>
      </c>
    </row>
    <row r="622" spans="1:6" x14ac:dyDescent="0.25">
      <c r="A622" t="s">
        <v>273</v>
      </c>
      <c r="B622" t="s">
        <v>274</v>
      </c>
      <c r="C622" t="s">
        <v>263</v>
      </c>
      <c r="E622">
        <f t="shared" si="84"/>
        <v>2.7777777777777778E-4</v>
      </c>
      <c r="F622" s="5">
        <f t="shared" si="84"/>
        <v>1.3888888888888889E-4</v>
      </c>
    </row>
    <row r="623" spans="1:6" x14ac:dyDescent="0.25">
      <c r="A623" t="s">
        <v>273</v>
      </c>
      <c r="B623" t="s">
        <v>274</v>
      </c>
      <c r="C623" t="s">
        <v>264</v>
      </c>
      <c r="E623">
        <f t="shared" si="84"/>
        <v>1.3888888888888889E-4</v>
      </c>
      <c r="F623" s="5">
        <f t="shared" si="84"/>
        <v>6.9444444444444444E-5</v>
      </c>
    </row>
    <row r="624" spans="1:6" x14ac:dyDescent="0.25">
      <c r="A624" t="s">
        <v>273</v>
      </c>
      <c r="B624" t="s">
        <v>274</v>
      </c>
      <c r="C624" t="s">
        <v>4</v>
      </c>
      <c r="E624">
        <f t="shared" si="84"/>
        <v>0</v>
      </c>
      <c r="F624" s="5">
        <f t="shared" si="84"/>
        <v>0</v>
      </c>
    </row>
    <row r="625" spans="1:6" x14ac:dyDescent="0.25">
      <c r="A625" t="s">
        <v>275</v>
      </c>
      <c r="B625" t="s">
        <v>276</v>
      </c>
      <c r="C625" t="s">
        <v>256</v>
      </c>
      <c r="E625">
        <f t="shared" si="84"/>
        <v>2</v>
      </c>
      <c r="F625" s="5">
        <f t="shared" si="84"/>
        <v>1</v>
      </c>
    </row>
    <row r="626" spans="1:6" x14ac:dyDescent="0.25">
      <c r="A626" t="s">
        <v>275</v>
      </c>
      <c r="B626" t="s">
        <v>276</v>
      </c>
      <c r="C626" t="s">
        <v>257</v>
      </c>
      <c r="E626">
        <f t="shared" si="84"/>
        <v>1</v>
      </c>
      <c r="F626" s="5">
        <f t="shared" si="84"/>
        <v>0.5</v>
      </c>
    </row>
    <row r="627" spans="1:6" x14ac:dyDescent="0.25">
      <c r="A627" t="s">
        <v>275</v>
      </c>
      <c r="B627" t="s">
        <v>276</v>
      </c>
      <c r="C627" t="s">
        <v>258</v>
      </c>
      <c r="E627">
        <f t="shared" si="84"/>
        <v>0.5</v>
      </c>
      <c r="F627" s="5">
        <f t="shared" si="84"/>
        <v>0.25</v>
      </c>
    </row>
    <row r="628" spans="1:6" x14ac:dyDescent="0.25">
      <c r="A628" t="s">
        <v>275</v>
      </c>
      <c r="B628" t="s">
        <v>276</v>
      </c>
      <c r="C628" t="s">
        <v>259</v>
      </c>
      <c r="E628">
        <f t="shared" si="84"/>
        <v>0.14285714285714285</v>
      </c>
      <c r="F628" s="5">
        <f t="shared" si="84"/>
        <v>7.1428571428571425E-2</v>
      </c>
    </row>
    <row r="629" spans="1:6" x14ac:dyDescent="0.25">
      <c r="A629" t="s">
        <v>275</v>
      </c>
      <c r="B629" t="s">
        <v>276</v>
      </c>
      <c r="C629" t="s">
        <v>260</v>
      </c>
      <c r="E629">
        <f t="shared" si="84"/>
        <v>3.3333333333333333E-2</v>
      </c>
      <c r="F629" s="5">
        <f t="shared" si="84"/>
        <v>1.6666666666666666E-2</v>
      </c>
    </row>
    <row r="630" spans="1:6" x14ac:dyDescent="0.25">
      <c r="A630" t="s">
        <v>275</v>
      </c>
      <c r="B630" t="s">
        <v>276</v>
      </c>
      <c r="C630" t="s">
        <v>261</v>
      </c>
      <c r="E630">
        <f t="shared" si="84"/>
        <v>5.5555555555555558E-3</v>
      </c>
      <c r="F630" s="5">
        <f t="shared" si="84"/>
        <v>2.7777777777777779E-3</v>
      </c>
    </row>
    <row r="631" spans="1:6" x14ac:dyDescent="0.25">
      <c r="A631" t="s">
        <v>275</v>
      </c>
      <c r="B631" t="s">
        <v>276</v>
      </c>
      <c r="C631" t="s">
        <v>262</v>
      </c>
      <c r="E631">
        <f t="shared" si="84"/>
        <v>1.3888888888888889E-3</v>
      </c>
      <c r="F631" s="5">
        <f t="shared" si="84"/>
        <v>6.9444444444444447E-4</v>
      </c>
    </row>
    <row r="632" spans="1:6" x14ac:dyDescent="0.25">
      <c r="A632" t="s">
        <v>275</v>
      </c>
      <c r="B632" t="s">
        <v>276</v>
      </c>
      <c r="C632" t="s">
        <v>263</v>
      </c>
      <c r="E632">
        <f t="shared" si="84"/>
        <v>2.7777777777777778E-4</v>
      </c>
      <c r="F632" s="5">
        <f t="shared" si="84"/>
        <v>1.3888888888888889E-4</v>
      </c>
    </row>
    <row r="633" spans="1:6" x14ac:dyDescent="0.25">
      <c r="A633" t="s">
        <v>275</v>
      </c>
      <c r="B633" t="s">
        <v>276</v>
      </c>
      <c r="C633" t="s">
        <v>264</v>
      </c>
      <c r="E633">
        <f t="shared" si="84"/>
        <v>1.3888888888888889E-4</v>
      </c>
      <c r="F633" s="5">
        <f t="shared" si="84"/>
        <v>6.9444444444444444E-5</v>
      </c>
    </row>
    <row r="634" spans="1:6" x14ac:dyDescent="0.25">
      <c r="A634" t="s">
        <v>275</v>
      </c>
      <c r="B634" t="s">
        <v>276</v>
      </c>
      <c r="C634" t="s">
        <v>4</v>
      </c>
      <c r="E634">
        <f t="shared" si="84"/>
        <v>0</v>
      </c>
      <c r="F634" s="5">
        <f t="shared" si="84"/>
        <v>0</v>
      </c>
    </row>
    <row r="635" spans="1:6" x14ac:dyDescent="0.25">
      <c r="A635" t="s">
        <v>277</v>
      </c>
      <c r="B635" t="s">
        <v>278</v>
      </c>
      <c r="C635" t="s">
        <v>256</v>
      </c>
      <c r="E635">
        <f t="shared" si="84"/>
        <v>2</v>
      </c>
      <c r="F635" s="5">
        <f t="shared" si="84"/>
        <v>1</v>
      </c>
    </row>
    <row r="636" spans="1:6" x14ac:dyDescent="0.25">
      <c r="A636" t="s">
        <v>277</v>
      </c>
      <c r="B636" t="s">
        <v>278</v>
      </c>
      <c r="C636" t="s">
        <v>257</v>
      </c>
      <c r="E636">
        <f t="shared" si="84"/>
        <v>1</v>
      </c>
      <c r="F636" s="5">
        <f t="shared" si="84"/>
        <v>0.5</v>
      </c>
    </row>
    <row r="637" spans="1:6" x14ac:dyDescent="0.25">
      <c r="A637" t="s">
        <v>277</v>
      </c>
      <c r="B637" t="s">
        <v>278</v>
      </c>
      <c r="C637" t="s">
        <v>258</v>
      </c>
      <c r="E637">
        <f t="shared" si="84"/>
        <v>0.5</v>
      </c>
      <c r="F637" s="5">
        <f t="shared" si="84"/>
        <v>0.25</v>
      </c>
    </row>
    <row r="638" spans="1:6" x14ac:dyDescent="0.25">
      <c r="A638" t="s">
        <v>277</v>
      </c>
      <c r="B638" t="s">
        <v>278</v>
      </c>
      <c r="C638" t="s">
        <v>259</v>
      </c>
      <c r="E638">
        <f t="shared" si="84"/>
        <v>0.14285714285714285</v>
      </c>
      <c r="F638" s="5">
        <f t="shared" si="84"/>
        <v>7.1428571428571425E-2</v>
      </c>
    </row>
    <row r="639" spans="1:6" x14ac:dyDescent="0.25">
      <c r="A639" t="s">
        <v>277</v>
      </c>
      <c r="B639" t="s">
        <v>278</v>
      </c>
      <c r="C639" t="s">
        <v>260</v>
      </c>
      <c r="E639">
        <f t="shared" si="84"/>
        <v>3.3333333333333333E-2</v>
      </c>
      <c r="F639" s="5">
        <f t="shared" si="84"/>
        <v>1.6666666666666666E-2</v>
      </c>
    </row>
    <row r="640" spans="1:6" x14ac:dyDescent="0.25">
      <c r="A640" t="s">
        <v>277</v>
      </c>
      <c r="B640" t="s">
        <v>278</v>
      </c>
      <c r="C640" t="s">
        <v>261</v>
      </c>
      <c r="E640">
        <f t="shared" ref="E640:F703" si="85">E630</f>
        <v>5.5555555555555558E-3</v>
      </c>
      <c r="F640" s="5">
        <f t="shared" si="85"/>
        <v>2.7777777777777779E-3</v>
      </c>
    </row>
    <row r="641" spans="1:6" x14ac:dyDescent="0.25">
      <c r="A641" t="s">
        <v>277</v>
      </c>
      <c r="B641" t="s">
        <v>278</v>
      </c>
      <c r="C641" t="s">
        <v>262</v>
      </c>
      <c r="E641">
        <f t="shared" si="85"/>
        <v>1.3888888888888889E-3</v>
      </c>
      <c r="F641" s="5">
        <f t="shared" si="85"/>
        <v>6.9444444444444447E-4</v>
      </c>
    </row>
    <row r="642" spans="1:6" x14ac:dyDescent="0.25">
      <c r="A642" t="s">
        <v>277</v>
      </c>
      <c r="B642" t="s">
        <v>278</v>
      </c>
      <c r="C642" t="s">
        <v>263</v>
      </c>
      <c r="E642">
        <f t="shared" si="85"/>
        <v>2.7777777777777778E-4</v>
      </c>
      <c r="F642" s="5">
        <f t="shared" si="85"/>
        <v>1.3888888888888889E-4</v>
      </c>
    </row>
    <row r="643" spans="1:6" x14ac:dyDescent="0.25">
      <c r="A643" t="s">
        <v>277</v>
      </c>
      <c r="B643" t="s">
        <v>278</v>
      </c>
      <c r="C643" t="s">
        <v>264</v>
      </c>
      <c r="E643">
        <f t="shared" si="85"/>
        <v>1.3888888888888889E-4</v>
      </c>
      <c r="F643" s="5">
        <f t="shared" si="85"/>
        <v>6.9444444444444444E-5</v>
      </c>
    </row>
    <row r="644" spans="1:6" x14ac:dyDescent="0.25">
      <c r="A644" t="s">
        <v>277</v>
      </c>
      <c r="B644" t="s">
        <v>278</v>
      </c>
      <c r="C644" t="s">
        <v>4</v>
      </c>
      <c r="E644">
        <f t="shared" si="85"/>
        <v>0</v>
      </c>
      <c r="F644" s="5">
        <f t="shared" si="85"/>
        <v>0</v>
      </c>
    </row>
    <row r="645" spans="1:6" x14ac:dyDescent="0.25">
      <c r="A645" t="s">
        <v>279</v>
      </c>
      <c r="B645" t="s">
        <v>280</v>
      </c>
      <c r="C645" t="s">
        <v>256</v>
      </c>
      <c r="E645">
        <f t="shared" si="85"/>
        <v>2</v>
      </c>
      <c r="F645" s="5">
        <f t="shared" si="85"/>
        <v>1</v>
      </c>
    </row>
    <row r="646" spans="1:6" x14ac:dyDescent="0.25">
      <c r="A646" t="s">
        <v>279</v>
      </c>
      <c r="B646" t="s">
        <v>280</v>
      </c>
      <c r="C646" t="s">
        <v>257</v>
      </c>
      <c r="E646">
        <f t="shared" si="85"/>
        <v>1</v>
      </c>
      <c r="F646" s="5">
        <f t="shared" si="85"/>
        <v>0.5</v>
      </c>
    </row>
    <row r="647" spans="1:6" x14ac:dyDescent="0.25">
      <c r="A647" t="s">
        <v>279</v>
      </c>
      <c r="B647" t="s">
        <v>280</v>
      </c>
      <c r="C647" t="s">
        <v>258</v>
      </c>
      <c r="E647">
        <f t="shared" si="85"/>
        <v>0.5</v>
      </c>
      <c r="F647" s="5">
        <f t="shared" si="85"/>
        <v>0.25</v>
      </c>
    </row>
    <row r="648" spans="1:6" x14ac:dyDescent="0.25">
      <c r="A648" t="s">
        <v>279</v>
      </c>
      <c r="B648" t="s">
        <v>280</v>
      </c>
      <c r="C648" t="s">
        <v>259</v>
      </c>
      <c r="E648">
        <f t="shared" si="85"/>
        <v>0.14285714285714285</v>
      </c>
      <c r="F648" s="5">
        <f t="shared" si="85"/>
        <v>7.1428571428571425E-2</v>
      </c>
    </row>
    <row r="649" spans="1:6" x14ac:dyDescent="0.25">
      <c r="A649" t="s">
        <v>279</v>
      </c>
      <c r="B649" t="s">
        <v>280</v>
      </c>
      <c r="C649" t="s">
        <v>260</v>
      </c>
      <c r="E649">
        <f t="shared" si="85"/>
        <v>3.3333333333333333E-2</v>
      </c>
      <c r="F649" s="5">
        <f t="shared" si="85"/>
        <v>1.6666666666666666E-2</v>
      </c>
    </row>
    <row r="650" spans="1:6" x14ac:dyDescent="0.25">
      <c r="A650" t="s">
        <v>279</v>
      </c>
      <c r="B650" t="s">
        <v>280</v>
      </c>
      <c r="C650" t="s">
        <v>261</v>
      </c>
      <c r="E650">
        <f t="shared" si="85"/>
        <v>5.5555555555555558E-3</v>
      </c>
      <c r="F650" s="5">
        <f t="shared" si="85"/>
        <v>2.7777777777777779E-3</v>
      </c>
    </row>
    <row r="651" spans="1:6" x14ac:dyDescent="0.25">
      <c r="A651" t="s">
        <v>279</v>
      </c>
      <c r="B651" t="s">
        <v>280</v>
      </c>
      <c r="C651" t="s">
        <v>262</v>
      </c>
      <c r="E651">
        <f t="shared" si="85"/>
        <v>1.3888888888888889E-3</v>
      </c>
      <c r="F651" s="5">
        <f t="shared" si="85"/>
        <v>6.9444444444444447E-4</v>
      </c>
    </row>
    <row r="652" spans="1:6" x14ac:dyDescent="0.25">
      <c r="A652" t="s">
        <v>279</v>
      </c>
      <c r="B652" t="s">
        <v>280</v>
      </c>
      <c r="C652" t="s">
        <v>263</v>
      </c>
      <c r="E652">
        <f t="shared" si="85"/>
        <v>2.7777777777777778E-4</v>
      </c>
      <c r="F652" s="5">
        <f t="shared" si="85"/>
        <v>1.3888888888888889E-4</v>
      </c>
    </row>
    <row r="653" spans="1:6" x14ac:dyDescent="0.25">
      <c r="A653" t="s">
        <v>279</v>
      </c>
      <c r="B653" t="s">
        <v>280</v>
      </c>
      <c r="C653" t="s">
        <v>264</v>
      </c>
      <c r="E653">
        <f t="shared" si="85"/>
        <v>1.3888888888888889E-4</v>
      </c>
      <c r="F653" s="5">
        <f t="shared" si="85"/>
        <v>6.9444444444444444E-5</v>
      </c>
    </row>
    <row r="654" spans="1:6" x14ac:dyDescent="0.25">
      <c r="A654" t="s">
        <v>279</v>
      </c>
      <c r="B654" t="s">
        <v>280</v>
      </c>
      <c r="C654" t="s">
        <v>4</v>
      </c>
      <c r="E654">
        <f t="shared" si="85"/>
        <v>0</v>
      </c>
      <c r="F654" s="5">
        <f t="shared" si="85"/>
        <v>0</v>
      </c>
    </row>
    <row r="655" spans="1:6" x14ac:dyDescent="0.25">
      <c r="A655" t="s">
        <v>281</v>
      </c>
      <c r="B655" t="s">
        <v>282</v>
      </c>
      <c r="C655" t="s">
        <v>256</v>
      </c>
      <c r="E655">
        <f t="shared" si="85"/>
        <v>2</v>
      </c>
      <c r="F655" s="5">
        <f t="shared" si="85"/>
        <v>1</v>
      </c>
    </row>
    <row r="656" spans="1:6" x14ac:dyDescent="0.25">
      <c r="A656" t="s">
        <v>281</v>
      </c>
      <c r="B656" t="s">
        <v>282</v>
      </c>
      <c r="C656" t="s">
        <v>257</v>
      </c>
      <c r="E656">
        <f t="shared" si="85"/>
        <v>1</v>
      </c>
      <c r="F656" s="5">
        <f t="shared" si="85"/>
        <v>0.5</v>
      </c>
    </row>
    <row r="657" spans="1:6" x14ac:dyDescent="0.25">
      <c r="A657" t="s">
        <v>281</v>
      </c>
      <c r="B657" t="s">
        <v>282</v>
      </c>
      <c r="C657" t="s">
        <v>258</v>
      </c>
      <c r="E657">
        <f t="shared" si="85"/>
        <v>0.5</v>
      </c>
      <c r="F657" s="5">
        <f t="shared" si="85"/>
        <v>0.25</v>
      </c>
    </row>
    <row r="658" spans="1:6" x14ac:dyDescent="0.25">
      <c r="A658" t="s">
        <v>281</v>
      </c>
      <c r="B658" t="s">
        <v>282</v>
      </c>
      <c r="C658" t="s">
        <v>259</v>
      </c>
      <c r="E658">
        <f t="shared" si="85"/>
        <v>0.14285714285714285</v>
      </c>
      <c r="F658" s="5">
        <f t="shared" si="85"/>
        <v>7.1428571428571425E-2</v>
      </c>
    </row>
    <row r="659" spans="1:6" x14ac:dyDescent="0.25">
      <c r="A659" t="s">
        <v>281</v>
      </c>
      <c r="B659" t="s">
        <v>282</v>
      </c>
      <c r="C659" t="s">
        <v>260</v>
      </c>
      <c r="E659">
        <f t="shared" si="85"/>
        <v>3.3333333333333333E-2</v>
      </c>
      <c r="F659" s="5">
        <f t="shared" si="85"/>
        <v>1.6666666666666666E-2</v>
      </c>
    </row>
    <row r="660" spans="1:6" x14ac:dyDescent="0.25">
      <c r="A660" t="s">
        <v>281</v>
      </c>
      <c r="B660" t="s">
        <v>282</v>
      </c>
      <c r="C660" t="s">
        <v>261</v>
      </c>
      <c r="E660">
        <f t="shared" si="85"/>
        <v>5.5555555555555558E-3</v>
      </c>
      <c r="F660" s="5">
        <f t="shared" si="85"/>
        <v>2.7777777777777779E-3</v>
      </c>
    </row>
    <row r="661" spans="1:6" x14ac:dyDescent="0.25">
      <c r="A661" t="s">
        <v>281</v>
      </c>
      <c r="B661" t="s">
        <v>282</v>
      </c>
      <c r="C661" t="s">
        <v>262</v>
      </c>
      <c r="E661">
        <f t="shared" si="85"/>
        <v>1.3888888888888889E-3</v>
      </c>
      <c r="F661" s="5">
        <f t="shared" si="85"/>
        <v>6.9444444444444447E-4</v>
      </c>
    </row>
    <row r="662" spans="1:6" x14ac:dyDescent="0.25">
      <c r="A662" t="s">
        <v>281</v>
      </c>
      <c r="B662" t="s">
        <v>282</v>
      </c>
      <c r="C662" t="s">
        <v>263</v>
      </c>
      <c r="E662">
        <f t="shared" si="85"/>
        <v>2.7777777777777778E-4</v>
      </c>
      <c r="F662" s="5">
        <f t="shared" si="85"/>
        <v>1.3888888888888889E-4</v>
      </c>
    </row>
    <row r="663" spans="1:6" x14ac:dyDescent="0.25">
      <c r="A663" t="s">
        <v>281</v>
      </c>
      <c r="B663" t="s">
        <v>282</v>
      </c>
      <c r="C663" t="s">
        <v>264</v>
      </c>
      <c r="E663">
        <f t="shared" si="85"/>
        <v>1.3888888888888889E-4</v>
      </c>
      <c r="F663" s="5">
        <f t="shared" si="85"/>
        <v>6.9444444444444444E-5</v>
      </c>
    </row>
    <row r="664" spans="1:6" x14ac:dyDescent="0.25">
      <c r="A664" t="s">
        <v>281</v>
      </c>
      <c r="B664" t="s">
        <v>282</v>
      </c>
      <c r="C664" t="s">
        <v>4</v>
      </c>
      <c r="E664">
        <f t="shared" si="85"/>
        <v>0</v>
      </c>
      <c r="F664" s="5">
        <f t="shared" si="85"/>
        <v>0</v>
      </c>
    </row>
    <row r="665" spans="1:6" x14ac:dyDescent="0.25">
      <c r="A665" t="s">
        <v>283</v>
      </c>
      <c r="B665" t="s">
        <v>284</v>
      </c>
      <c r="C665" t="s">
        <v>256</v>
      </c>
      <c r="E665">
        <f t="shared" si="85"/>
        <v>2</v>
      </c>
      <c r="F665" s="5">
        <f t="shared" si="85"/>
        <v>1</v>
      </c>
    </row>
    <row r="666" spans="1:6" x14ac:dyDescent="0.25">
      <c r="A666" t="s">
        <v>283</v>
      </c>
      <c r="B666" t="s">
        <v>284</v>
      </c>
      <c r="C666" t="s">
        <v>257</v>
      </c>
      <c r="E666">
        <f t="shared" si="85"/>
        <v>1</v>
      </c>
      <c r="F666" s="5">
        <f t="shared" si="85"/>
        <v>0.5</v>
      </c>
    </row>
    <row r="667" spans="1:6" x14ac:dyDescent="0.25">
      <c r="A667" t="s">
        <v>283</v>
      </c>
      <c r="B667" t="s">
        <v>284</v>
      </c>
      <c r="C667" t="s">
        <v>258</v>
      </c>
      <c r="E667">
        <f t="shared" si="85"/>
        <v>0.5</v>
      </c>
      <c r="F667" s="5">
        <f t="shared" si="85"/>
        <v>0.25</v>
      </c>
    </row>
    <row r="668" spans="1:6" x14ac:dyDescent="0.25">
      <c r="A668" t="s">
        <v>283</v>
      </c>
      <c r="B668" t="s">
        <v>284</v>
      </c>
      <c r="C668" t="s">
        <v>259</v>
      </c>
      <c r="E668">
        <f t="shared" si="85"/>
        <v>0.14285714285714285</v>
      </c>
      <c r="F668" s="5">
        <f t="shared" si="85"/>
        <v>7.1428571428571425E-2</v>
      </c>
    </row>
    <row r="669" spans="1:6" x14ac:dyDescent="0.25">
      <c r="A669" t="s">
        <v>283</v>
      </c>
      <c r="B669" t="s">
        <v>284</v>
      </c>
      <c r="C669" t="s">
        <v>260</v>
      </c>
      <c r="E669">
        <f t="shared" si="85"/>
        <v>3.3333333333333333E-2</v>
      </c>
      <c r="F669" s="5">
        <f t="shared" si="85"/>
        <v>1.6666666666666666E-2</v>
      </c>
    </row>
    <row r="670" spans="1:6" x14ac:dyDescent="0.25">
      <c r="A670" t="s">
        <v>283</v>
      </c>
      <c r="B670" t="s">
        <v>284</v>
      </c>
      <c r="C670" t="s">
        <v>261</v>
      </c>
      <c r="E670">
        <f t="shared" si="85"/>
        <v>5.5555555555555558E-3</v>
      </c>
      <c r="F670" s="5">
        <f t="shared" si="85"/>
        <v>2.7777777777777779E-3</v>
      </c>
    </row>
    <row r="671" spans="1:6" x14ac:dyDescent="0.25">
      <c r="A671" t="s">
        <v>283</v>
      </c>
      <c r="B671" t="s">
        <v>284</v>
      </c>
      <c r="C671" t="s">
        <v>262</v>
      </c>
      <c r="E671">
        <f t="shared" si="85"/>
        <v>1.3888888888888889E-3</v>
      </c>
      <c r="F671" s="5">
        <f t="shared" si="85"/>
        <v>6.9444444444444447E-4</v>
      </c>
    </row>
    <row r="672" spans="1:6" x14ac:dyDescent="0.25">
      <c r="A672" t="s">
        <v>283</v>
      </c>
      <c r="B672" t="s">
        <v>284</v>
      </c>
      <c r="C672" t="s">
        <v>263</v>
      </c>
      <c r="E672">
        <f t="shared" si="85"/>
        <v>2.7777777777777778E-4</v>
      </c>
      <c r="F672" s="5">
        <f t="shared" si="85"/>
        <v>1.3888888888888889E-4</v>
      </c>
    </row>
    <row r="673" spans="1:6" x14ac:dyDescent="0.25">
      <c r="A673" t="s">
        <v>283</v>
      </c>
      <c r="B673" t="s">
        <v>284</v>
      </c>
      <c r="C673" t="s">
        <v>264</v>
      </c>
      <c r="E673">
        <f t="shared" si="85"/>
        <v>1.3888888888888889E-4</v>
      </c>
      <c r="F673" s="5">
        <f t="shared" si="85"/>
        <v>6.9444444444444444E-5</v>
      </c>
    </row>
    <row r="674" spans="1:6" x14ac:dyDescent="0.25">
      <c r="A674" t="s">
        <v>283</v>
      </c>
      <c r="B674" t="s">
        <v>284</v>
      </c>
      <c r="C674" t="s">
        <v>4</v>
      </c>
      <c r="E674">
        <f t="shared" si="85"/>
        <v>0</v>
      </c>
      <c r="F674" s="5">
        <f t="shared" si="85"/>
        <v>0</v>
      </c>
    </row>
    <row r="675" spans="1:6" x14ac:dyDescent="0.25">
      <c r="A675" t="s">
        <v>285</v>
      </c>
      <c r="B675" t="s">
        <v>286</v>
      </c>
      <c r="C675" t="s">
        <v>256</v>
      </c>
      <c r="E675">
        <f t="shared" si="85"/>
        <v>2</v>
      </c>
      <c r="F675" s="5">
        <f t="shared" si="85"/>
        <v>1</v>
      </c>
    </row>
    <row r="676" spans="1:6" x14ac:dyDescent="0.25">
      <c r="A676" t="s">
        <v>285</v>
      </c>
      <c r="B676" t="s">
        <v>286</v>
      </c>
      <c r="C676" t="s">
        <v>257</v>
      </c>
      <c r="E676">
        <f t="shared" si="85"/>
        <v>1</v>
      </c>
      <c r="F676" s="5">
        <f t="shared" si="85"/>
        <v>0.5</v>
      </c>
    </row>
    <row r="677" spans="1:6" x14ac:dyDescent="0.25">
      <c r="A677" t="s">
        <v>285</v>
      </c>
      <c r="B677" t="s">
        <v>286</v>
      </c>
      <c r="C677" t="s">
        <v>258</v>
      </c>
      <c r="E677">
        <f t="shared" si="85"/>
        <v>0.5</v>
      </c>
      <c r="F677" s="5">
        <f t="shared" si="85"/>
        <v>0.25</v>
      </c>
    </row>
    <row r="678" spans="1:6" x14ac:dyDescent="0.25">
      <c r="A678" t="s">
        <v>285</v>
      </c>
      <c r="B678" t="s">
        <v>286</v>
      </c>
      <c r="C678" t="s">
        <v>259</v>
      </c>
      <c r="E678">
        <f t="shared" si="85"/>
        <v>0.14285714285714285</v>
      </c>
      <c r="F678" s="5">
        <f t="shared" si="85"/>
        <v>7.1428571428571425E-2</v>
      </c>
    </row>
    <row r="679" spans="1:6" x14ac:dyDescent="0.25">
      <c r="A679" t="s">
        <v>285</v>
      </c>
      <c r="B679" t="s">
        <v>286</v>
      </c>
      <c r="C679" t="s">
        <v>260</v>
      </c>
      <c r="E679">
        <f t="shared" si="85"/>
        <v>3.3333333333333333E-2</v>
      </c>
      <c r="F679" s="5">
        <f t="shared" si="85"/>
        <v>1.6666666666666666E-2</v>
      </c>
    </row>
    <row r="680" spans="1:6" x14ac:dyDescent="0.25">
      <c r="A680" t="s">
        <v>285</v>
      </c>
      <c r="B680" t="s">
        <v>286</v>
      </c>
      <c r="C680" t="s">
        <v>261</v>
      </c>
      <c r="E680">
        <f t="shared" si="85"/>
        <v>5.5555555555555558E-3</v>
      </c>
      <c r="F680" s="5">
        <f t="shared" si="85"/>
        <v>2.7777777777777779E-3</v>
      </c>
    </row>
    <row r="681" spans="1:6" x14ac:dyDescent="0.25">
      <c r="A681" t="s">
        <v>285</v>
      </c>
      <c r="B681" t="s">
        <v>286</v>
      </c>
      <c r="C681" t="s">
        <v>262</v>
      </c>
      <c r="E681">
        <f t="shared" si="85"/>
        <v>1.3888888888888889E-3</v>
      </c>
      <c r="F681" s="5">
        <f t="shared" si="85"/>
        <v>6.9444444444444447E-4</v>
      </c>
    </row>
    <row r="682" spans="1:6" x14ac:dyDescent="0.25">
      <c r="A682" t="s">
        <v>285</v>
      </c>
      <c r="B682" t="s">
        <v>286</v>
      </c>
      <c r="C682" t="s">
        <v>263</v>
      </c>
      <c r="E682">
        <f t="shared" si="85"/>
        <v>2.7777777777777778E-4</v>
      </c>
      <c r="F682" s="5">
        <f t="shared" si="85"/>
        <v>1.3888888888888889E-4</v>
      </c>
    </row>
    <row r="683" spans="1:6" x14ac:dyDescent="0.25">
      <c r="A683" t="s">
        <v>285</v>
      </c>
      <c r="B683" t="s">
        <v>286</v>
      </c>
      <c r="C683" t="s">
        <v>264</v>
      </c>
      <c r="E683">
        <f t="shared" si="85"/>
        <v>1.3888888888888889E-4</v>
      </c>
      <c r="F683" s="5">
        <f t="shared" si="85"/>
        <v>6.9444444444444444E-5</v>
      </c>
    </row>
    <row r="684" spans="1:6" x14ac:dyDescent="0.25">
      <c r="A684" t="s">
        <v>285</v>
      </c>
      <c r="B684" t="s">
        <v>286</v>
      </c>
      <c r="C684" t="s">
        <v>4</v>
      </c>
      <c r="E684">
        <f t="shared" si="85"/>
        <v>0</v>
      </c>
      <c r="F684" s="5">
        <f t="shared" si="85"/>
        <v>0</v>
      </c>
    </row>
    <row r="685" spans="1:6" x14ac:dyDescent="0.25">
      <c r="A685" t="s">
        <v>287</v>
      </c>
      <c r="B685" t="s">
        <v>288</v>
      </c>
      <c r="C685" t="s">
        <v>256</v>
      </c>
      <c r="E685">
        <f t="shared" si="85"/>
        <v>2</v>
      </c>
      <c r="F685" s="5">
        <f t="shared" si="85"/>
        <v>1</v>
      </c>
    </row>
    <row r="686" spans="1:6" x14ac:dyDescent="0.25">
      <c r="A686" t="s">
        <v>287</v>
      </c>
      <c r="B686" t="s">
        <v>288</v>
      </c>
      <c r="C686" t="s">
        <v>257</v>
      </c>
      <c r="E686">
        <f t="shared" si="85"/>
        <v>1</v>
      </c>
      <c r="F686" s="5">
        <f t="shared" si="85"/>
        <v>0.5</v>
      </c>
    </row>
    <row r="687" spans="1:6" x14ac:dyDescent="0.25">
      <c r="A687" t="s">
        <v>287</v>
      </c>
      <c r="B687" t="s">
        <v>288</v>
      </c>
      <c r="C687" t="s">
        <v>258</v>
      </c>
      <c r="E687">
        <f t="shared" si="85"/>
        <v>0.5</v>
      </c>
      <c r="F687" s="5">
        <f t="shared" si="85"/>
        <v>0.25</v>
      </c>
    </row>
    <row r="688" spans="1:6" x14ac:dyDescent="0.25">
      <c r="A688" t="s">
        <v>287</v>
      </c>
      <c r="B688" t="s">
        <v>288</v>
      </c>
      <c r="C688" t="s">
        <v>259</v>
      </c>
      <c r="E688">
        <f t="shared" si="85"/>
        <v>0.14285714285714285</v>
      </c>
      <c r="F688" s="5">
        <f t="shared" si="85"/>
        <v>7.1428571428571425E-2</v>
      </c>
    </row>
    <row r="689" spans="1:6" x14ac:dyDescent="0.25">
      <c r="A689" t="s">
        <v>287</v>
      </c>
      <c r="B689" t="s">
        <v>288</v>
      </c>
      <c r="C689" t="s">
        <v>260</v>
      </c>
      <c r="E689">
        <f t="shared" si="85"/>
        <v>3.3333333333333333E-2</v>
      </c>
      <c r="F689" s="5">
        <f t="shared" si="85"/>
        <v>1.6666666666666666E-2</v>
      </c>
    </row>
    <row r="690" spans="1:6" x14ac:dyDescent="0.25">
      <c r="A690" t="s">
        <v>287</v>
      </c>
      <c r="B690" t="s">
        <v>288</v>
      </c>
      <c r="C690" t="s">
        <v>261</v>
      </c>
      <c r="E690">
        <f t="shared" si="85"/>
        <v>5.5555555555555558E-3</v>
      </c>
      <c r="F690" s="5">
        <f t="shared" si="85"/>
        <v>2.7777777777777779E-3</v>
      </c>
    </row>
    <row r="691" spans="1:6" x14ac:dyDescent="0.25">
      <c r="A691" t="s">
        <v>287</v>
      </c>
      <c r="B691" t="s">
        <v>288</v>
      </c>
      <c r="C691" t="s">
        <v>262</v>
      </c>
      <c r="E691">
        <f t="shared" si="85"/>
        <v>1.3888888888888889E-3</v>
      </c>
      <c r="F691" s="5">
        <f t="shared" si="85"/>
        <v>6.9444444444444447E-4</v>
      </c>
    </row>
    <row r="692" spans="1:6" x14ac:dyDescent="0.25">
      <c r="A692" t="s">
        <v>287</v>
      </c>
      <c r="B692" t="s">
        <v>288</v>
      </c>
      <c r="C692" t="s">
        <v>263</v>
      </c>
      <c r="E692">
        <f t="shared" si="85"/>
        <v>2.7777777777777778E-4</v>
      </c>
      <c r="F692" s="5">
        <f t="shared" si="85"/>
        <v>1.3888888888888889E-4</v>
      </c>
    </row>
    <row r="693" spans="1:6" x14ac:dyDescent="0.25">
      <c r="A693" t="s">
        <v>287</v>
      </c>
      <c r="B693" t="s">
        <v>288</v>
      </c>
      <c r="C693" t="s">
        <v>264</v>
      </c>
      <c r="E693">
        <f t="shared" si="85"/>
        <v>1.3888888888888889E-4</v>
      </c>
      <c r="F693" s="5">
        <f t="shared" si="85"/>
        <v>6.9444444444444444E-5</v>
      </c>
    </row>
    <row r="694" spans="1:6" x14ac:dyDescent="0.25">
      <c r="A694" t="s">
        <v>287</v>
      </c>
      <c r="B694" t="s">
        <v>288</v>
      </c>
      <c r="C694" t="s">
        <v>4</v>
      </c>
      <c r="E694">
        <f t="shared" si="85"/>
        <v>0</v>
      </c>
      <c r="F694" s="5">
        <f t="shared" si="85"/>
        <v>0</v>
      </c>
    </row>
    <row r="695" spans="1:6" x14ac:dyDescent="0.25">
      <c r="A695" t="s">
        <v>289</v>
      </c>
      <c r="B695" t="s">
        <v>290</v>
      </c>
      <c r="C695" t="s">
        <v>256</v>
      </c>
      <c r="E695">
        <f t="shared" si="85"/>
        <v>2</v>
      </c>
      <c r="F695" s="5">
        <f t="shared" si="85"/>
        <v>1</v>
      </c>
    </row>
    <row r="696" spans="1:6" x14ac:dyDescent="0.25">
      <c r="A696" t="s">
        <v>289</v>
      </c>
      <c r="B696" t="s">
        <v>290</v>
      </c>
      <c r="C696" t="s">
        <v>257</v>
      </c>
      <c r="E696">
        <f t="shared" si="85"/>
        <v>1</v>
      </c>
      <c r="F696" s="5">
        <f t="shared" si="85"/>
        <v>0.5</v>
      </c>
    </row>
    <row r="697" spans="1:6" x14ac:dyDescent="0.25">
      <c r="A697" t="s">
        <v>289</v>
      </c>
      <c r="B697" t="s">
        <v>290</v>
      </c>
      <c r="C697" t="s">
        <v>258</v>
      </c>
      <c r="E697">
        <f t="shared" si="85"/>
        <v>0.5</v>
      </c>
      <c r="F697" s="5">
        <f t="shared" si="85"/>
        <v>0.25</v>
      </c>
    </row>
    <row r="698" spans="1:6" x14ac:dyDescent="0.25">
      <c r="A698" t="s">
        <v>289</v>
      </c>
      <c r="B698" t="s">
        <v>290</v>
      </c>
      <c r="C698" t="s">
        <v>259</v>
      </c>
      <c r="E698">
        <f t="shared" si="85"/>
        <v>0.14285714285714285</v>
      </c>
      <c r="F698" s="5">
        <f t="shared" si="85"/>
        <v>7.1428571428571425E-2</v>
      </c>
    </row>
    <row r="699" spans="1:6" x14ac:dyDescent="0.25">
      <c r="A699" t="s">
        <v>289</v>
      </c>
      <c r="B699" t="s">
        <v>290</v>
      </c>
      <c r="C699" t="s">
        <v>260</v>
      </c>
      <c r="E699">
        <f t="shared" si="85"/>
        <v>3.3333333333333333E-2</v>
      </c>
      <c r="F699" s="5">
        <f t="shared" si="85"/>
        <v>1.6666666666666666E-2</v>
      </c>
    </row>
    <row r="700" spans="1:6" x14ac:dyDescent="0.25">
      <c r="A700" t="s">
        <v>289</v>
      </c>
      <c r="B700" t="s">
        <v>290</v>
      </c>
      <c r="C700" t="s">
        <v>261</v>
      </c>
      <c r="E700">
        <f t="shared" si="85"/>
        <v>5.5555555555555558E-3</v>
      </c>
      <c r="F700" s="5">
        <f t="shared" si="85"/>
        <v>2.7777777777777779E-3</v>
      </c>
    </row>
    <row r="701" spans="1:6" x14ac:dyDescent="0.25">
      <c r="A701" t="s">
        <v>289</v>
      </c>
      <c r="B701" t="s">
        <v>290</v>
      </c>
      <c r="C701" t="s">
        <v>262</v>
      </c>
      <c r="E701">
        <f t="shared" si="85"/>
        <v>1.3888888888888889E-3</v>
      </c>
      <c r="F701" s="5">
        <f t="shared" si="85"/>
        <v>6.9444444444444447E-4</v>
      </c>
    </row>
    <row r="702" spans="1:6" x14ac:dyDescent="0.25">
      <c r="A702" t="s">
        <v>289</v>
      </c>
      <c r="B702" t="s">
        <v>290</v>
      </c>
      <c r="C702" t="s">
        <v>263</v>
      </c>
      <c r="E702">
        <f t="shared" si="85"/>
        <v>2.7777777777777778E-4</v>
      </c>
      <c r="F702" s="5">
        <f t="shared" si="85"/>
        <v>1.3888888888888889E-4</v>
      </c>
    </row>
    <row r="703" spans="1:6" x14ac:dyDescent="0.25">
      <c r="A703" t="s">
        <v>289</v>
      </c>
      <c r="B703" t="s">
        <v>290</v>
      </c>
      <c r="C703" t="s">
        <v>264</v>
      </c>
      <c r="E703">
        <f t="shared" si="85"/>
        <v>1.3888888888888889E-4</v>
      </c>
      <c r="F703" s="5">
        <f t="shared" si="85"/>
        <v>6.9444444444444444E-5</v>
      </c>
    </row>
    <row r="704" spans="1:6" x14ac:dyDescent="0.25">
      <c r="A704" t="s">
        <v>289</v>
      </c>
      <c r="B704" t="s">
        <v>290</v>
      </c>
      <c r="C704" t="s">
        <v>4</v>
      </c>
      <c r="E704">
        <f t="shared" ref="E704:F714" si="86">E694</f>
        <v>0</v>
      </c>
      <c r="F704" s="5">
        <f t="shared" si="86"/>
        <v>0</v>
      </c>
    </row>
    <row r="705" spans="1:6" x14ac:dyDescent="0.25">
      <c r="A705" t="s">
        <v>291</v>
      </c>
      <c r="B705" t="s">
        <v>292</v>
      </c>
      <c r="C705" t="s">
        <v>256</v>
      </c>
      <c r="E705">
        <f t="shared" si="86"/>
        <v>2</v>
      </c>
      <c r="F705" s="5">
        <f t="shared" si="86"/>
        <v>1</v>
      </c>
    </row>
    <row r="706" spans="1:6" x14ac:dyDescent="0.25">
      <c r="A706" t="s">
        <v>291</v>
      </c>
      <c r="B706" t="s">
        <v>292</v>
      </c>
      <c r="C706" t="s">
        <v>257</v>
      </c>
      <c r="E706">
        <f t="shared" si="86"/>
        <v>1</v>
      </c>
      <c r="F706" s="5">
        <f t="shared" si="86"/>
        <v>0.5</v>
      </c>
    </row>
    <row r="707" spans="1:6" x14ac:dyDescent="0.25">
      <c r="A707" t="s">
        <v>291</v>
      </c>
      <c r="B707" t="s">
        <v>292</v>
      </c>
      <c r="C707" t="s">
        <v>258</v>
      </c>
      <c r="E707">
        <f t="shared" si="86"/>
        <v>0.5</v>
      </c>
      <c r="F707" s="5">
        <f t="shared" si="86"/>
        <v>0.25</v>
      </c>
    </row>
    <row r="708" spans="1:6" x14ac:dyDescent="0.25">
      <c r="A708" t="s">
        <v>291</v>
      </c>
      <c r="B708" t="s">
        <v>292</v>
      </c>
      <c r="C708" t="s">
        <v>259</v>
      </c>
      <c r="E708">
        <f t="shared" si="86"/>
        <v>0.14285714285714285</v>
      </c>
      <c r="F708" s="5">
        <f t="shared" si="86"/>
        <v>7.1428571428571425E-2</v>
      </c>
    </row>
    <row r="709" spans="1:6" x14ac:dyDescent="0.25">
      <c r="A709" t="s">
        <v>291</v>
      </c>
      <c r="B709" t="s">
        <v>292</v>
      </c>
      <c r="C709" t="s">
        <v>260</v>
      </c>
      <c r="E709">
        <f t="shared" si="86"/>
        <v>3.3333333333333333E-2</v>
      </c>
      <c r="F709" s="5">
        <f t="shared" si="86"/>
        <v>1.6666666666666666E-2</v>
      </c>
    </row>
    <row r="710" spans="1:6" x14ac:dyDescent="0.25">
      <c r="A710" t="s">
        <v>291</v>
      </c>
      <c r="B710" t="s">
        <v>292</v>
      </c>
      <c r="C710" t="s">
        <v>261</v>
      </c>
      <c r="E710">
        <f t="shared" si="86"/>
        <v>5.5555555555555558E-3</v>
      </c>
      <c r="F710" s="5">
        <f t="shared" si="86"/>
        <v>2.7777777777777779E-3</v>
      </c>
    </row>
    <row r="711" spans="1:6" x14ac:dyDescent="0.25">
      <c r="A711" t="s">
        <v>291</v>
      </c>
      <c r="B711" t="s">
        <v>292</v>
      </c>
      <c r="C711" t="s">
        <v>262</v>
      </c>
      <c r="E711">
        <f t="shared" si="86"/>
        <v>1.3888888888888889E-3</v>
      </c>
      <c r="F711" s="5">
        <f t="shared" si="86"/>
        <v>6.9444444444444447E-4</v>
      </c>
    </row>
    <row r="712" spans="1:6" x14ac:dyDescent="0.25">
      <c r="A712" t="s">
        <v>291</v>
      </c>
      <c r="B712" t="s">
        <v>292</v>
      </c>
      <c r="C712" t="s">
        <v>263</v>
      </c>
      <c r="E712">
        <f t="shared" si="86"/>
        <v>2.7777777777777778E-4</v>
      </c>
      <c r="F712" s="5">
        <f t="shared" si="86"/>
        <v>1.3888888888888889E-4</v>
      </c>
    </row>
    <row r="713" spans="1:6" x14ac:dyDescent="0.25">
      <c r="A713" t="s">
        <v>291</v>
      </c>
      <c r="B713" t="s">
        <v>292</v>
      </c>
      <c r="C713" t="s">
        <v>264</v>
      </c>
      <c r="E713">
        <f t="shared" si="86"/>
        <v>1.3888888888888889E-4</v>
      </c>
      <c r="F713" s="5">
        <f t="shared" si="86"/>
        <v>6.9444444444444444E-5</v>
      </c>
    </row>
    <row r="714" spans="1:6" x14ac:dyDescent="0.25">
      <c r="A714" t="s">
        <v>291</v>
      </c>
      <c r="B714" t="s">
        <v>292</v>
      </c>
      <c r="C714" t="s">
        <v>4</v>
      </c>
      <c r="E714">
        <f t="shared" si="86"/>
        <v>0</v>
      </c>
      <c r="F714" s="5">
        <f t="shared" si="86"/>
        <v>0</v>
      </c>
    </row>
    <row r="715" spans="1:6" s="2" customFormat="1" x14ac:dyDescent="0.25">
      <c r="A715" s="2" t="s">
        <v>293</v>
      </c>
      <c r="B715" s="2" t="s">
        <v>294</v>
      </c>
      <c r="C715" s="2" t="s">
        <v>295</v>
      </c>
      <c r="E715" s="2">
        <v>0</v>
      </c>
      <c r="F715" s="2">
        <f>E715/MAX(E$715:E$723)</f>
        <v>0</v>
      </c>
    </row>
    <row r="716" spans="1:6" s="2" customFormat="1" x14ac:dyDescent="0.25">
      <c r="A716" s="2" t="s">
        <v>293</v>
      </c>
      <c r="B716" s="2" t="s">
        <v>294</v>
      </c>
      <c r="C716" s="2" t="s">
        <v>408</v>
      </c>
      <c r="E716" s="2">
        <v>1</v>
      </c>
      <c r="F716" s="2">
        <f t="shared" ref="F716:F723" si="87">E716/MAX(E$715:E$723)</f>
        <v>1.1111111111111111E-3</v>
      </c>
    </row>
    <row r="717" spans="1:6" s="2" customFormat="1" x14ac:dyDescent="0.25">
      <c r="A717" s="2" t="s">
        <v>293</v>
      </c>
      <c r="B717" s="2" t="s">
        <v>294</v>
      </c>
      <c r="C717" s="2" t="s">
        <v>296</v>
      </c>
      <c r="E717" s="2">
        <v>5</v>
      </c>
      <c r="F717" s="2">
        <f t="shared" si="87"/>
        <v>5.5555555555555558E-3</v>
      </c>
    </row>
    <row r="718" spans="1:6" s="2" customFormat="1" x14ac:dyDescent="0.25">
      <c r="A718" s="2" t="s">
        <v>293</v>
      </c>
      <c r="B718" s="2" t="s">
        <v>294</v>
      </c>
      <c r="C718" s="2" t="s">
        <v>297</v>
      </c>
      <c r="E718" s="2">
        <v>7</v>
      </c>
      <c r="F718" s="2">
        <f t="shared" si="87"/>
        <v>7.7777777777777776E-3</v>
      </c>
    </row>
    <row r="719" spans="1:6" s="2" customFormat="1" x14ac:dyDescent="0.25">
      <c r="A719" s="2" t="s">
        <v>293</v>
      </c>
      <c r="B719" s="2" t="s">
        <v>294</v>
      </c>
      <c r="C719" s="2" t="s">
        <v>298</v>
      </c>
      <c r="E719" s="2">
        <v>30</v>
      </c>
      <c r="F719" s="2">
        <f t="shared" si="87"/>
        <v>3.3333333333333333E-2</v>
      </c>
    </row>
    <row r="720" spans="1:6" s="2" customFormat="1" x14ac:dyDescent="0.25">
      <c r="A720" s="2" t="s">
        <v>293</v>
      </c>
      <c r="B720" s="2" t="s">
        <v>294</v>
      </c>
      <c r="C720" s="2" t="s">
        <v>299</v>
      </c>
      <c r="E720" s="2">
        <f>4*30</f>
        <v>120</v>
      </c>
      <c r="F720" s="2">
        <f t="shared" si="87"/>
        <v>0.13333333333333333</v>
      </c>
    </row>
    <row r="721" spans="1:6" s="2" customFormat="1" x14ac:dyDescent="0.25">
      <c r="A721" s="2" t="s">
        <v>293</v>
      </c>
      <c r="B721" s="2" t="s">
        <v>294</v>
      </c>
      <c r="C721" s="2" t="s">
        <v>300</v>
      </c>
      <c r="E721" s="2">
        <f>30*8</f>
        <v>240</v>
      </c>
      <c r="F721" s="2">
        <f t="shared" si="87"/>
        <v>0.26666666666666666</v>
      </c>
    </row>
    <row r="722" spans="1:6" s="2" customFormat="1" x14ac:dyDescent="0.25">
      <c r="A722" s="2" t="s">
        <v>293</v>
      </c>
      <c r="B722" s="2" t="s">
        <v>294</v>
      </c>
      <c r="C722" s="2" t="s">
        <v>301</v>
      </c>
      <c r="E722" s="2">
        <f>12*30</f>
        <v>360</v>
      </c>
      <c r="F722" s="2">
        <f t="shared" si="87"/>
        <v>0.4</v>
      </c>
    </row>
    <row r="723" spans="1:6" s="2" customFormat="1" x14ac:dyDescent="0.25">
      <c r="A723" s="2" t="s">
        <v>293</v>
      </c>
      <c r="B723" s="2" t="s">
        <v>294</v>
      </c>
      <c r="C723" s="2" t="s">
        <v>302</v>
      </c>
      <c r="E723" s="2">
        <f>30*30</f>
        <v>900</v>
      </c>
      <c r="F723" s="2">
        <f t="shared" si="87"/>
        <v>1</v>
      </c>
    </row>
    <row r="724" spans="1:6" x14ac:dyDescent="0.25">
      <c r="A724" t="s">
        <v>303</v>
      </c>
      <c r="B724" t="s">
        <v>304</v>
      </c>
      <c r="C724" t="s">
        <v>295</v>
      </c>
      <c r="E724">
        <f>E715</f>
        <v>0</v>
      </c>
      <c r="F724" s="5">
        <f>F715</f>
        <v>0</v>
      </c>
    </row>
    <row r="725" spans="1:6" x14ac:dyDescent="0.25">
      <c r="A725" t="s">
        <v>303</v>
      </c>
      <c r="B725" t="s">
        <v>304</v>
      </c>
      <c r="C725" t="s">
        <v>408</v>
      </c>
      <c r="E725">
        <f t="shared" ref="E725:F788" si="88">E716</f>
        <v>1</v>
      </c>
      <c r="F725" s="5">
        <f t="shared" si="88"/>
        <v>1.1111111111111111E-3</v>
      </c>
    </row>
    <row r="726" spans="1:6" x14ac:dyDescent="0.25">
      <c r="A726" t="s">
        <v>303</v>
      </c>
      <c r="B726" t="s">
        <v>304</v>
      </c>
      <c r="C726" t="s">
        <v>296</v>
      </c>
      <c r="E726">
        <f t="shared" si="88"/>
        <v>5</v>
      </c>
      <c r="F726" s="5">
        <f t="shared" si="88"/>
        <v>5.5555555555555558E-3</v>
      </c>
    </row>
    <row r="727" spans="1:6" x14ac:dyDescent="0.25">
      <c r="A727" t="s">
        <v>303</v>
      </c>
      <c r="B727" t="s">
        <v>304</v>
      </c>
      <c r="C727" t="s">
        <v>297</v>
      </c>
      <c r="E727">
        <f t="shared" si="88"/>
        <v>7</v>
      </c>
      <c r="F727" s="5">
        <f t="shared" si="88"/>
        <v>7.7777777777777776E-3</v>
      </c>
    </row>
    <row r="728" spans="1:6" x14ac:dyDescent="0.25">
      <c r="A728" t="s">
        <v>303</v>
      </c>
      <c r="B728" t="s">
        <v>304</v>
      </c>
      <c r="C728" t="s">
        <v>298</v>
      </c>
      <c r="E728">
        <f t="shared" si="88"/>
        <v>30</v>
      </c>
      <c r="F728" s="5">
        <f t="shared" si="88"/>
        <v>3.3333333333333333E-2</v>
      </c>
    </row>
    <row r="729" spans="1:6" x14ac:dyDescent="0.25">
      <c r="A729" t="s">
        <v>303</v>
      </c>
      <c r="B729" t="s">
        <v>304</v>
      </c>
      <c r="C729" t="s">
        <v>299</v>
      </c>
      <c r="E729">
        <f t="shared" si="88"/>
        <v>120</v>
      </c>
      <c r="F729" s="5">
        <f t="shared" si="88"/>
        <v>0.13333333333333333</v>
      </c>
    </row>
    <row r="730" spans="1:6" x14ac:dyDescent="0.25">
      <c r="A730" t="s">
        <v>303</v>
      </c>
      <c r="B730" t="s">
        <v>304</v>
      </c>
      <c r="C730" t="s">
        <v>300</v>
      </c>
      <c r="E730">
        <f t="shared" si="88"/>
        <v>240</v>
      </c>
      <c r="F730" s="5">
        <f t="shared" si="88"/>
        <v>0.26666666666666666</v>
      </c>
    </row>
    <row r="731" spans="1:6" x14ac:dyDescent="0.25">
      <c r="A731" t="s">
        <v>303</v>
      </c>
      <c r="B731" t="s">
        <v>304</v>
      </c>
      <c r="C731" t="s">
        <v>301</v>
      </c>
      <c r="E731">
        <f t="shared" si="88"/>
        <v>360</v>
      </c>
      <c r="F731" s="5">
        <f t="shared" si="88"/>
        <v>0.4</v>
      </c>
    </row>
    <row r="732" spans="1:6" x14ac:dyDescent="0.25">
      <c r="A732" t="s">
        <v>303</v>
      </c>
      <c r="B732" t="s">
        <v>304</v>
      </c>
      <c r="C732" t="s">
        <v>302</v>
      </c>
      <c r="E732">
        <f t="shared" si="88"/>
        <v>900</v>
      </c>
      <c r="F732" s="5">
        <f t="shared" si="88"/>
        <v>1</v>
      </c>
    </row>
    <row r="733" spans="1:6" x14ac:dyDescent="0.25">
      <c r="A733" t="s">
        <v>305</v>
      </c>
      <c r="B733" t="s">
        <v>306</v>
      </c>
      <c r="C733" t="s">
        <v>295</v>
      </c>
      <c r="E733">
        <f t="shared" si="88"/>
        <v>0</v>
      </c>
      <c r="F733" s="5">
        <f t="shared" si="88"/>
        <v>0</v>
      </c>
    </row>
    <row r="734" spans="1:6" x14ac:dyDescent="0.25">
      <c r="A734" t="s">
        <v>305</v>
      </c>
      <c r="B734" t="s">
        <v>306</v>
      </c>
      <c r="C734" t="s">
        <v>408</v>
      </c>
      <c r="E734">
        <f t="shared" si="88"/>
        <v>1</v>
      </c>
      <c r="F734" s="5">
        <f t="shared" si="88"/>
        <v>1.1111111111111111E-3</v>
      </c>
    </row>
    <row r="735" spans="1:6" x14ac:dyDescent="0.25">
      <c r="A735" t="s">
        <v>305</v>
      </c>
      <c r="B735" t="s">
        <v>306</v>
      </c>
      <c r="C735" t="s">
        <v>296</v>
      </c>
      <c r="E735">
        <f t="shared" si="88"/>
        <v>5</v>
      </c>
      <c r="F735" s="5">
        <f t="shared" si="88"/>
        <v>5.5555555555555558E-3</v>
      </c>
    </row>
    <row r="736" spans="1:6" x14ac:dyDescent="0.25">
      <c r="A736" t="s">
        <v>305</v>
      </c>
      <c r="B736" t="s">
        <v>306</v>
      </c>
      <c r="C736" t="s">
        <v>297</v>
      </c>
      <c r="E736">
        <f t="shared" si="88"/>
        <v>7</v>
      </c>
      <c r="F736" s="5">
        <f t="shared" si="88"/>
        <v>7.7777777777777776E-3</v>
      </c>
    </row>
    <row r="737" spans="1:6" x14ac:dyDescent="0.25">
      <c r="A737" t="s">
        <v>305</v>
      </c>
      <c r="B737" t="s">
        <v>306</v>
      </c>
      <c r="C737" t="s">
        <v>298</v>
      </c>
      <c r="E737">
        <f t="shared" si="88"/>
        <v>30</v>
      </c>
      <c r="F737" s="5">
        <f t="shared" si="88"/>
        <v>3.3333333333333333E-2</v>
      </c>
    </row>
    <row r="738" spans="1:6" x14ac:dyDescent="0.25">
      <c r="A738" t="s">
        <v>305</v>
      </c>
      <c r="B738" t="s">
        <v>306</v>
      </c>
      <c r="C738" t="s">
        <v>299</v>
      </c>
      <c r="E738">
        <f t="shared" si="88"/>
        <v>120</v>
      </c>
      <c r="F738" s="5">
        <f t="shared" si="88"/>
        <v>0.13333333333333333</v>
      </c>
    </row>
    <row r="739" spans="1:6" x14ac:dyDescent="0.25">
      <c r="A739" t="s">
        <v>305</v>
      </c>
      <c r="B739" t="s">
        <v>306</v>
      </c>
      <c r="C739" t="s">
        <v>300</v>
      </c>
      <c r="E739">
        <f t="shared" si="88"/>
        <v>240</v>
      </c>
      <c r="F739" s="5">
        <f t="shared" si="88"/>
        <v>0.26666666666666666</v>
      </c>
    </row>
    <row r="740" spans="1:6" x14ac:dyDescent="0.25">
      <c r="A740" t="s">
        <v>305</v>
      </c>
      <c r="B740" t="s">
        <v>306</v>
      </c>
      <c r="C740" t="s">
        <v>301</v>
      </c>
      <c r="E740">
        <f t="shared" si="88"/>
        <v>360</v>
      </c>
      <c r="F740" s="5">
        <f t="shared" si="88"/>
        <v>0.4</v>
      </c>
    </row>
    <row r="741" spans="1:6" x14ac:dyDescent="0.25">
      <c r="A741" t="s">
        <v>305</v>
      </c>
      <c r="B741" t="s">
        <v>306</v>
      </c>
      <c r="C741" t="s">
        <v>302</v>
      </c>
      <c r="E741">
        <f t="shared" si="88"/>
        <v>900</v>
      </c>
      <c r="F741" s="5">
        <f t="shared" si="88"/>
        <v>1</v>
      </c>
    </row>
    <row r="742" spans="1:6" x14ac:dyDescent="0.25">
      <c r="A742" t="s">
        <v>307</v>
      </c>
      <c r="B742" t="s">
        <v>308</v>
      </c>
      <c r="C742" t="s">
        <v>295</v>
      </c>
      <c r="E742">
        <f t="shared" si="88"/>
        <v>0</v>
      </c>
      <c r="F742" s="5">
        <f t="shared" si="88"/>
        <v>0</v>
      </c>
    </row>
    <row r="743" spans="1:6" x14ac:dyDescent="0.25">
      <c r="A743" t="s">
        <v>307</v>
      </c>
      <c r="B743" t="s">
        <v>308</v>
      </c>
      <c r="C743" t="s">
        <v>408</v>
      </c>
      <c r="E743">
        <f t="shared" si="88"/>
        <v>1</v>
      </c>
      <c r="F743" s="5">
        <f t="shared" si="88"/>
        <v>1.1111111111111111E-3</v>
      </c>
    </row>
    <row r="744" spans="1:6" x14ac:dyDescent="0.25">
      <c r="A744" t="s">
        <v>307</v>
      </c>
      <c r="B744" t="s">
        <v>308</v>
      </c>
      <c r="C744" t="s">
        <v>296</v>
      </c>
      <c r="E744">
        <f t="shared" si="88"/>
        <v>5</v>
      </c>
      <c r="F744" s="5">
        <f t="shared" si="88"/>
        <v>5.5555555555555558E-3</v>
      </c>
    </row>
    <row r="745" spans="1:6" x14ac:dyDescent="0.25">
      <c r="A745" t="s">
        <v>307</v>
      </c>
      <c r="B745" t="s">
        <v>308</v>
      </c>
      <c r="C745" t="s">
        <v>297</v>
      </c>
      <c r="E745">
        <f t="shared" si="88"/>
        <v>7</v>
      </c>
      <c r="F745" s="5">
        <f t="shared" si="88"/>
        <v>7.7777777777777776E-3</v>
      </c>
    </row>
    <row r="746" spans="1:6" x14ac:dyDescent="0.25">
      <c r="A746" t="s">
        <v>307</v>
      </c>
      <c r="B746" t="s">
        <v>308</v>
      </c>
      <c r="C746" t="s">
        <v>298</v>
      </c>
      <c r="E746">
        <f t="shared" si="88"/>
        <v>30</v>
      </c>
      <c r="F746" s="5">
        <f t="shared" si="88"/>
        <v>3.3333333333333333E-2</v>
      </c>
    </row>
    <row r="747" spans="1:6" x14ac:dyDescent="0.25">
      <c r="A747" t="s">
        <v>307</v>
      </c>
      <c r="B747" t="s">
        <v>308</v>
      </c>
      <c r="C747" t="s">
        <v>299</v>
      </c>
      <c r="E747">
        <f t="shared" si="88"/>
        <v>120</v>
      </c>
      <c r="F747" s="5">
        <f t="shared" si="88"/>
        <v>0.13333333333333333</v>
      </c>
    </row>
    <row r="748" spans="1:6" x14ac:dyDescent="0.25">
      <c r="A748" t="s">
        <v>307</v>
      </c>
      <c r="B748" t="s">
        <v>308</v>
      </c>
      <c r="C748" t="s">
        <v>300</v>
      </c>
      <c r="E748">
        <f t="shared" si="88"/>
        <v>240</v>
      </c>
      <c r="F748" s="5">
        <f t="shared" si="88"/>
        <v>0.26666666666666666</v>
      </c>
    </row>
    <row r="749" spans="1:6" x14ac:dyDescent="0.25">
      <c r="A749" t="s">
        <v>307</v>
      </c>
      <c r="B749" t="s">
        <v>308</v>
      </c>
      <c r="C749" t="s">
        <v>301</v>
      </c>
      <c r="E749">
        <f t="shared" si="88"/>
        <v>360</v>
      </c>
      <c r="F749" s="5">
        <f t="shared" si="88"/>
        <v>0.4</v>
      </c>
    </row>
    <row r="750" spans="1:6" x14ac:dyDescent="0.25">
      <c r="A750" t="s">
        <v>307</v>
      </c>
      <c r="B750" t="s">
        <v>308</v>
      </c>
      <c r="C750" t="s">
        <v>302</v>
      </c>
      <c r="E750">
        <f t="shared" si="88"/>
        <v>900</v>
      </c>
      <c r="F750" s="5">
        <f t="shared" si="88"/>
        <v>1</v>
      </c>
    </row>
    <row r="751" spans="1:6" x14ac:dyDescent="0.25">
      <c r="A751" t="s">
        <v>309</v>
      </c>
      <c r="B751" t="s">
        <v>310</v>
      </c>
      <c r="C751" t="s">
        <v>295</v>
      </c>
      <c r="E751">
        <f t="shared" si="88"/>
        <v>0</v>
      </c>
      <c r="F751" s="5">
        <f t="shared" si="88"/>
        <v>0</v>
      </c>
    </row>
    <row r="752" spans="1:6" x14ac:dyDescent="0.25">
      <c r="A752" t="s">
        <v>309</v>
      </c>
      <c r="B752" t="s">
        <v>310</v>
      </c>
      <c r="C752" t="s">
        <v>408</v>
      </c>
      <c r="E752">
        <f t="shared" si="88"/>
        <v>1</v>
      </c>
      <c r="F752" s="5">
        <f t="shared" si="88"/>
        <v>1.1111111111111111E-3</v>
      </c>
    </row>
    <row r="753" spans="1:6" x14ac:dyDescent="0.25">
      <c r="A753" t="s">
        <v>309</v>
      </c>
      <c r="B753" t="s">
        <v>310</v>
      </c>
      <c r="C753" t="s">
        <v>296</v>
      </c>
      <c r="E753">
        <f t="shared" si="88"/>
        <v>5</v>
      </c>
      <c r="F753" s="5">
        <f t="shared" si="88"/>
        <v>5.5555555555555558E-3</v>
      </c>
    </row>
    <row r="754" spans="1:6" x14ac:dyDescent="0.25">
      <c r="A754" t="s">
        <v>309</v>
      </c>
      <c r="B754" t="s">
        <v>310</v>
      </c>
      <c r="C754" t="s">
        <v>297</v>
      </c>
      <c r="E754">
        <f t="shared" si="88"/>
        <v>7</v>
      </c>
      <c r="F754" s="5">
        <f t="shared" si="88"/>
        <v>7.7777777777777776E-3</v>
      </c>
    </row>
    <row r="755" spans="1:6" x14ac:dyDescent="0.25">
      <c r="A755" t="s">
        <v>309</v>
      </c>
      <c r="B755" t="s">
        <v>310</v>
      </c>
      <c r="C755" t="s">
        <v>298</v>
      </c>
      <c r="E755">
        <f t="shared" si="88"/>
        <v>30</v>
      </c>
      <c r="F755" s="5">
        <f t="shared" si="88"/>
        <v>3.3333333333333333E-2</v>
      </c>
    </row>
    <row r="756" spans="1:6" x14ac:dyDescent="0.25">
      <c r="A756" t="s">
        <v>309</v>
      </c>
      <c r="B756" t="s">
        <v>310</v>
      </c>
      <c r="C756" t="s">
        <v>299</v>
      </c>
      <c r="E756">
        <f t="shared" si="88"/>
        <v>120</v>
      </c>
      <c r="F756" s="5">
        <f t="shared" si="88"/>
        <v>0.13333333333333333</v>
      </c>
    </row>
    <row r="757" spans="1:6" x14ac:dyDescent="0.25">
      <c r="A757" t="s">
        <v>309</v>
      </c>
      <c r="B757" t="s">
        <v>310</v>
      </c>
      <c r="C757" t="s">
        <v>300</v>
      </c>
      <c r="E757">
        <f t="shared" si="88"/>
        <v>240</v>
      </c>
      <c r="F757" s="5">
        <f t="shared" si="88"/>
        <v>0.26666666666666666</v>
      </c>
    </row>
    <row r="758" spans="1:6" x14ac:dyDescent="0.25">
      <c r="A758" t="s">
        <v>309</v>
      </c>
      <c r="B758" t="s">
        <v>310</v>
      </c>
      <c r="C758" t="s">
        <v>301</v>
      </c>
      <c r="E758">
        <f t="shared" si="88"/>
        <v>360</v>
      </c>
      <c r="F758" s="5">
        <f t="shared" si="88"/>
        <v>0.4</v>
      </c>
    </row>
    <row r="759" spans="1:6" x14ac:dyDescent="0.25">
      <c r="A759" t="s">
        <v>309</v>
      </c>
      <c r="B759" t="s">
        <v>310</v>
      </c>
      <c r="C759" t="s">
        <v>302</v>
      </c>
      <c r="E759">
        <f t="shared" si="88"/>
        <v>900</v>
      </c>
      <c r="F759" s="5">
        <f t="shared" si="88"/>
        <v>1</v>
      </c>
    </row>
    <row r="760" spans="1:6" x14ac:dyDescent="0.25">
      <c r="A760" t="s">
        <v>311</v>
      </c>
      <c r="B760" t="s">
        <v>312</v>
      </c>
      <c r="C760" t="s">
        <v>295</v>
      </c>
      <c r="E760">
        <f t="shared" si="88"/>
        <v>0</v>
      </c>
      <c r="F760" s="5">
        <f t="shared" si="88"/>
        <v>0</v>
      </c>
    </row>
    <row r="761" spans="1:6" x14ac:dyDescent="0.25">
      <c r="A761" t="s">
        <v>311</v>
      </c>
      <c r="B761" t="s">
        <v>312</v>
      </c>
      <c r="C761" t="s">
        <v>408</v>
      </c>
      <c r="E761">
        <f t="shared" si="88"/>
        <v>1</v>
      </c>
      <c r="F761" s="5">
        <f t="shared" si="88"/>
        <v>1.1111111111111111E-3</v>
      </c>
    </row>
    <row r="762" spans="1:6" x14ac:dyDescent="0.25">
      <c r="A762" t="s">
        <v>311</v>
      </c>
      <c r="B762" t="s">
        <v>312</v>
      </c>
      <c r="C762" t="s">
        <v>296</v>
      </c>
      <c r="E762">
        <f t="shared" si="88"/>
        <v>5</v>
      </c>
      <c r="F762" s="5">
        <f t="shared" si="88"/>
        <v>5.5555555555555558E-3</v>
      </c>
    </row>
    <row r="763" spans="1:6" x14ac:dyDescent="0.25">
      <c r="A763" t="s">
        <v>311</v>
      </c>
      <c r="B763" t="s">
        <v>312</v>
      </c>
      <c r="C763" t="s">
        <v>297</v>
      </c>
      <c r="E763">
        <f t="shared" si="88"/>
        <v>7</v>
      </c>
      <c r="F763" s="5">
        <f t="shared" si="88"/>
        <v>7.7777777777777776E-3</v>
      </c>
    </row>
    <row r="764" spans="1:6" x14ac:dyDescent="0.25">
      <c r="A764" t="s">
        <v>311</v>
      </c>
      <c r="B764" t="s">
        <v>312</v>
      </c>
      <c r="C764" t="s">
        <v>298</v>
      </c>
      <c r="E764">
        <f t="shared" si="88"/>
        <v>30</v>
      </c>
      <c r="F764" s="5">
        <f t="shared" si="88"/>
        <v>3.3333333333333333E-2</v>
      </c>
    </row>
    <row r="765" spans="1:6" x14ac:dyDescent="0.25">
      <c r="A765" t="s">
        <v>311</v>
      </c>
      <c r="B765" t="s">
        <v>312</v>
      </c>
      <c r="C765" t="s">
        <v>299</v>
      </c>
      <c r="E765">
        <f t="shared" si="88"/>
        <v>120</v>
      </c>
      <c r="F765" s="5">
        <f t="shared" si="88"/>
        <v>0.13333333333333333</v>
      </c>
    </row>
    <row r="766" spans="1:6" x14ac:dyDescent="0.25">
      <c r="A766" t="s">
        <v>311</v>
      </c>
      <c r="B766" t="s">
        <v>312</v>
      </c>
      <c r="C766" t="s">
        <v>300</v>
      </c>
      <c r="E766">
        <f t="shared" si="88"/>
        <v>240</v>
      </c>
      <c r="F766" s="5">
        <f t="shared" si="88"/>
        <v>0.26666666666666666</v>
      </c>
    </row>
    <row r="767" spans="1:6" x14ac:dyDescent="0.25">
      <c r="A767" t="s">
        <v>311</v>
      </c>
      <c r="B767" t="s">
        <v>312</v>
      </c>
      <c r="C767" t="s">
        <v>301</v>
      </c>
      <c r="E767">
        <f t="shared" si="88"/>
        <v>360</v>
      </c>
      <c r="F767" s="5">
        <f t="shared" si="88"/>
        <v>0.4</v>
      </c>
    </row>
    <row r="768" spans="1:6" x14ac:dyDescent="0.25">
      <c r="A768" t="s">
        <v>311</v>
      </c>
      <c r="B768" t="s">
        <v>312</v>
      </c>
      <c r="C768" t="s">
        <v>302</v>
      </c>
      <c r="E768">
        <f t="shared" si="88"/>
        <v>900</v>
      </c>
      <c r="F768" s="5">
        <f t="shared" si="88"/>
        <v>1</v>
      </c>
    </row>
    <row r="769" spans="1:6" x14ac:dyDescent="0.25">
      <c r="A769" t="s">
        <v>313</v>
      </c>
      <c r="B769" t="s">
        <v>314</v>
      </c>
      <c r="C769" t="s">
        <v>295</v>
      </c>
      <c r="E769">
        <f t="shared" si="88"/>
        <v>0</v>
      </c>
      <c r="F769" s="5">
        <f t="shared" si="88"/>
        <v>0</v>
      </c>
    </row>
    <row r="770" spans="1:6" x14ac:dyDescent="0.25">
      <c r="A770" t="s">
        <v>313</v>
      </c>
      <c r="B770" t="s">
        <v>314</v>
      </c>
      <c r="C770" t="s">
        <v>408</v>
      </c>
      <c r="E770">
        <f t="shared" si="88"/>
        <v>1</v>
      </c>
      <c r="F770" s="5">
        <f t="shared" si="88"/>
        <v>1.1111111111111111E-3</v>
      </c>
    </row>
    <row r="771" spans="1:6" x14ac:dyDescent="0.25">
      <c r="A771" t="s">
        <v>313</v>
      </c>
      <c r="B771" t="s">
        <v>314</v>
      </c>
      <c r="C771" t="s">
        <v>296</v>
      </c>
      <c r="E771">
        <f t="shared" si="88"/>
        <v>5</v>
      </c>
      <c r="F771" s="5">
        <f t="shared" si="88"/>
        <v>5.5555555555555558E-3</v>
      </c>
    </row>
    <row r="772" spans="1:6" x14ac:dyDescent="0.25">
      <c r="A772" t="s">
        <v>313</v>
      </c>
      <c r="B772" t="s">
        <v>314</v>
      </c>
      <c r="C772" t="s">
        <v>297</v>
      </c>
      <c r="E772">
        <f t="shared" si="88"/>
        <v>7</v>
      </c>
      <c r="F772" s="5">
        <f t="shared" si="88"/>
        <v>7.7777777777777776E-3</v>
      </c>
    </row>
    <row r="773" spans="1:6" x14ac:dyDescent="0.25">
      <c r="A773" t="s">
        <v>313</v>
      </c>
      <c r="B773" t="s">
        <v>314</v>
      </c>
      <c r="C773" t="s">
        <v>298</v>
      </c>
      <c r="E773">
        <f t="shared" si="88"/>
        <v>30</v>
      </c>
      <c r="F773" s="5">
        <f t="shared" si="88"/>
        <v>3.3333333333333333E-2</v>
      </c>
    </row>
    <row r="774" spans="1:6" x14ac:dyDescent="0.25">
      <c r="A774" t="s">
        <v>313</v>
      </c>
      <c r="B774" t="s">
        <v>314</v>
      </c>
      <c r="C774" t="s">
        <v>299</v>
      </c>
      <c r="E774">
        <f t="shared" si="88"/>
        <v>120</v>
      </c>
      <c r="F774" s="5">
        <f t="shared" si="88"/>
        <v>0.13333333333333333</v>
      </c>
    </row>
    <row r="775" spans="1:6" x14ac:dyDescent="0.25">
      <c r="A775" t="s">
        <v>313</v>
      </c>
      <c r="B775" t="s">
        <v>314</v>
      </c>
      <c r="C775" t="s">
        <v>300</v>
      </c>
      <c r="E775">
        <f t="shared" si="88"/>
        <v>240</v>
      </c>
      <c r="F775" s="5">
        <f t="shared" si="88"/>
        <v>0.26666666666666666</v>
      </c>
    </row>
    <row r="776" spans="1:6" x14ac:dyDescent="0.25">
      <c r="A776" t="s">
        <v>313</v>
      </c>
      <c r="B776" t="s">
        <v>314</v>
      </c>
      <c r="C776" t="s">
        <v>301</v>
      </c>
      <c r="E776">
        <f t="shared" si="88"/>
        <v>360</v>
      </c>
      <c r="F776" s="5">
        <f t="shared" si="88"/>
        <v>0.4</v>
      </c>
    </row>
    <row r="777" spans="1:6" x14ac:dyDescent="0.25">
      <c r="A777" t="s">
        <v>313</v>
      </c>
      <c r="B777" t="s">
        <v>314</v>
      </c>
      <c r="C777" t="s">
        <v>302</v>
      </c>
      <c r="E777">
        <f t="shared" si="88"/>
        <v>900</v>
      </c>
      <c r="F777" s="5">
        <f t="shared" si="88"/>
        <v>1</v>
      </c>
    </row>
    <row r="778" spans="1:6" x14ac:dyDescent="0.25">
      <c r="A778" t="s">
        <v>315</v>
      </c>
      <c r="B778" t="s">
        <v>316</v>
      </c>
      <c r="C778" t="s">
        <v>295</v>
      </c>
      <c r="E778">
        <f t="shared" si="88"/>
        <v>0</v>
      </c>
      <c r="F778" s="5">
        <f t="shared" si="88"/>
        <v>0</v>
      </c>
    </row>
    <row r="779" spans="1:6" x14ac:dyDescent="0.25">
      <c r="A779" t="s">
        <v>315</v>
      </c>
      <c r="B779" t="s">
        <v>316</v>
      </c>
      <c r="C779" t="s">
        <v>408</v>
      </c>
      <c r="E779">
        <f t="shared" si="88"/>
        <v>1</v>
      </c>
      <c r="F779" s="5">
        <f t="shared" si="88"/>
        <v>1.1111111111111111E-3</v>
      </c>
    </row>
    <row r="780" spans="1:6" x14ac:dyDescent="0.25">
      <c r="A780" t="s">
        <v>315</v>
      </c>
      <c r="B780" t="s">
        <v>316</v>
      </c>
      <c r="C780" t="s">
        <v>296</v>
      </c>
      <c r="E780">
        <f t="shared" si="88"/>
        <v>5</v>
      </c>
      <c r="F780" s="5">
        <f t="shared" si="88"/>
        <v>5.5555555555555558E-3</v>
      </c>
    </row>
    <row r="781" spans="1:6" x14ac:dyDescent="0.25">
      <c r="A781" t="s">
        <v>315</v>
      </c>
      <c r="B781" t="s">
        <v>316</v>
      </c>
      <c r="C781" t="s">
        <v>297</v>
      </c>
      <c r="E781">
        <f t="shared" si="88"/>
        <v>7</v>
      </c>
      <c r="F781" s="5">
        <f t="shared" si="88"/>
        <v>7.7777777777777776E-3</v>
      </c>
    </row>
    <row r="782" spans="1:6" x14ac:dyDescent="0.25">
      <c r="A782" t="s">
        <v>315</v>
      </c>
      <c r="B782" t="s">
        <v>316</v>
      </c>
      <c r="C782" t="s">
        <v>298</v>
      </c>
      <c r="E782">
        <f t="shared" si="88"/>
        <v>30</v>
      </c>
      <c r="F782" s="5">
        <f t="shared" si="88"/>
        <v>3.3333333333333333E-2</v>
      </c>
    </row>
    <row r="783" spans="1:6" x14ac:dyDescent="0.25">
      <c r="A783" t="s">
        <v>315</v>
      </c>
      <c r="B783" t="s">
        <v>316</v>
      </c>
      <c r="C783" t="s">
        <v>299</v>
      </c>
      <c r="E783">
        <f t="shared" si="88"/>
        <v>120</v>
      </c>
      <c r="F783" s="5">
        <f t="shared" si="88"/>
        <v>0.13333333333333333</v>
      </c>
    </row>
    <row r="784" spans="1:6" x14ac:dyDescent="0.25">
      <c r="A784" t="s">
        <v>315</v>
      </c>
      <c r="B784" t="s">
        <v>316</v>
      </c>
      <c r="C784" t="s">
        <v>300</v>
      </c>
      <c r="E784">
        <f t="shared" si="88"/>
        <v>240</v>
      </c>
      <c r="F784" s="5">
        <f t="shared" si="88"/>
        <v>0.26666666666666666</v>
      </c>
    </row>
    <row r="785" spans="1:6" x14ac:dyDescent="0.25">
      <c r="A785" t="s">
        <v>315</v>
      </c>
      <c r="B785" t="s">
        <v>316</v>
      </c>
      <c r="C785" t="s">
        <v>301</v>
      </c>
      <c r="E785">
        <f t="shared" si="88"/>
        <v>360</v>
      </c>
      <c r="F785" s="5">
        <f t="shared" si="88"/>
        <v>0.4</v>
      </c>
    </row>
    <row r="786" spans="1:6" x14ac:dyDescent="0.25">
      <c r="A786" t="s">
        <v>315</v>
      </c>
      <c r="B786" t="s">
        <v>316</v>
      </c>
      <c r="C786" t="s">
        <v>302</v>
      </c>
      <c r="E786">
        <f t="shared" si="88"/>
        <v>900</v>
      </c>
      <c r="F786" s="5">
        <f t="shared" si="88"/>
        <v>1</v>
      </c>
    </row>
    <row r="787" spans="1:6" x14ac:dyDescent="0.25">
      <c r="A787" t="s">
        <v>317</v>
      </c>
      <c r="B787" t="s">
        <v>318</v>
      </c>
      <c r="C787" t="s">
        <v>295</v>
      </c>
      <c r="E787">
        <f t="shared" si="88"/>
        <v>0</v>
      </c>
      <c r="F787" s="5">
        <f t="shared" si="88"/>
        <v>0</v>
      </c>
    </row>
    <row r="788" spans="1:6" x14ac:dyDescent="0.25">
      <c r="A788" t="s">
        <v>317</v>
      </c>
      <c r="B788" t="s">
        <v>318</v>
      </c>
      <c r="C788" t="s">
        <v>408</v>
      </c>
      <c r="E788">
        <f t="shared" si="88"/>
        <v>1</v>
      </c>
      <c r="F788" s="5">
        <f t="shared" si="88"/>
        <v>1.1111111111111111E-3</v>
      </c>
    </row>
    <row r="789" spans="1:6" x14ac:dyDescent="0.25">
      <c r="A789" t="s">
        <v>317</v>
      </c>
      <c r="B789" t="s">
        <v>318</v>
      </c>
      <c r="C789" t="s">
        <v>296</v>
      </c>
      <c r="E789">
        <f t="shared" ref="E789:F849" si="89">E780</f>
        <v>5</v>
      </c>
      <c r="F789" s="5">
        <f t="shared" si="89"/>
        <v>5.5555555555555558E-3</v>
      </c>
    </row>
    <row r="790" spans="1:6" x14ac:dyDescent="0.25">
      <c r="A790" t="s">
        <v>317</v>
      </c>
      <c r="B790" t="s">
        <v>318</v>
      </c>
      <c r="C790" t="s">
        <v>297</v>
      </c>
      <c r="E790">
        <f t="shared" si="89"/>
        <v>7</v>
      </c>
      <c r="F790" s="5">
        <f t="shared" si="89"/>
        <v>7.7777777777777776E-3</v>
      </c>
    </row>
    <row r="791" spans="1:6" x14ac:dyDescent="0.25">
      <c r="A791" t="s">
        <v>317</v>
      </c>
      <c r="B791" t="s">
        <v>318</v>
      </c>
      <c r="C791" t="s">
        <v>298</v>
      </c>
      <c r="E791">
        <f t="shared" si="89"/>
        <v>30</v>
      </c>
      <c r="F791" s="5">
        <f t="shared" si="89"/>
        <v>3.3333333333333333E-2</v>
      </c>
    </row>
    <row r="792" spans="1:6" x14ac:dyDescent="0.25">
      <c r="A792" t="s">
        <v>317</v>
      </c>
      <c r="B792" t="s">
        <v>318</v>
      </c>
      <c r="C792" t="s">
        <v>299</v>
      </c>
      <c r="E792">
        <f t="shared" si="89"/>
        <v>120</v>
      </c>
      <c r="F792" s="5">
        <f t="shared" si="89"/>
        <v>0.13333333333333333</v>
      </c>
    </row>
    <row r="793" spans="1:6" x14ac:dyDescent="0.25">
      <c r="A793" t="s">
        <v>317</v>
      </c>
      <c r="B793" t="s">
        <v>318</v>
      </c>
      <c r="C793" t="s">
        <v>300</v>
      </c>
      <c r="E793">
        <f t="shared" si="89"/>
        <v>240</v>
      </c>
      <c r="F793" s="5">
        <f t="shared" si="89"/>
        <v>0.26666666666666666</v>
      </c>
    </row>
    <row r="794" spans="1:6" x14ac:dyDescent="0.25">
      <c r="A794" t="s">
        <v>317</v>
      </c>
      <c r="B794" t="s">
        <v>318</v>
      </c>
      <c r="C794" t="s">
        <v>301</v>
      </c>
      <c r="E794">
        <f t="shared" si="89"/>
        <v>360</v>
      </c>
      <c r="F794" s="5">
        <f t="shared" si="89"/>
        <v>0.4</v>
      </c>
    </row>
    <row r="795" spans="1:6" x14ac:dyDescent="0.25">
      <c r="A795" t="s">
        <v>317</v>
      </c>
      <c r="B795" t="s">
        <v>318</v>
      </c>
      <c r="C795" t="s">
        <v>302</v>
      </c>
      <c r="E795">
        <f t="shared" si="89"/>
        <v>900</v>
      </c>
      <c r="F795" s="5">
        <f t="shared" si="89"/>
        <v>1</v>
      </c>
    </row>
    <row r="796" spans="1:6" x14ac:dyDescent="0.25">
      <c r="A796" t="s">
        <v>319</v>
      </c>
      <c r="B796" t="s">
        <v>320</v>
      </c>
      <c r="C796" t="s">
        <v>295</v>
      </c>
      <c r="E796">
        <f t="shared" si="89"/>
        <v>0</v>
      </c>
      <c r="F796" s="5">
        <f t="shared" si="89"/>
        <v>0</v>
      </c>
    </row>
    <row r="797" spans="1:6" x14ac:dyDescent="0.25">
      <c r="A797" t="s">
        <v>319</v>
      </c>
      <c r="B797" t="s">
        <v>320</v>
      </c>
      <c r="C797" t="s">
        <v>408</v>
      </c>
      <c r="E797">
        <f t="shared" si="89"/>
        <v>1</v>
      </c>
      <c r="F797" s="5">
        <f t="shared" si="89"/>
        <v>1.1111111111111111E-3</v>
      </c>
    </row>
    <row r="798" spans="1:6" x14ac:dyDescent="0.25">
      <c r="A798" t="s">
        <v>319</v>
      </c>
      <c r="B798" t="s">
        <v>320</v>
      </c>
      <c r="C798" t="s">
        <v>296</v>
      </c>
      <c r="E798">
        <f t="shared" si="89"/>
        <v>5</v>
      </c>
      <c r="F798" s="5">
        <f t="shared" si="89"/>
        <v>5.5555555555555558E-3</v>
      </c>
    </row>
    <row r="799" spans="1:6" x14ac:dyDescent="0.25">
      <c r="A799" t="s">
        <v>319</v>
      </c>
      <c r="B799" t="s">
        <v>320</v>
      </c>
      <c r="C799" t="s">
        <v>297</v>
      </c>
      <c r="E799">
        <f t="shared" si="89"/>
        <v>7</v>
      </c>
      <c r="F799" s="5">
        <f t="shared" si="89"/>
        <v>7.7777777777777776E-3</v>
      </c>
    </row>
    <row r="800" spans="1:6" x14ac:dyDescent="0.25">
      <c r="A800" t="s">
        <v>319</v>
      </c>
      <c r="B800" t="s">
        <v>320</v>
      </c>
      <c r="C800" t="s">
        <v>298</v>
      </c>
      <c r="E800">
        <f t="shared" si="89"/>
        <v>30</v>
      </c>
      <c r="F800" s="5">
        <f t="shared" si="89"/>
        <v>3.3333333333333333E-2</v>
      </c>
    </row>
    <row r="801" spans="1:6" x14ac:dyDescent="0.25">
      <c r="A801" t="s">
        <v>319</v>
      </c>
      <c r="B801" t="s">
        <v>320</v>
      </c>
      <c r="C801" t="s">
        <v>299</v>
      </c>
      <c r="E801">
        <f t="shared" si="89"/>
        <v>120</v>
      </c>
      <c r="F801" s="5">
        <f t="shared" si="89"/>
        <v>0.13333333333333333</v>
      </c>
    </row>
    <row r="802" spans="1:6" x14ac:dyDescent="0.25">
      <c r="A802" t="s">
        <v>319</v>
      </c>
      <c r="B802" t="s">
        <v>320</v>
      </c>
      <c r="C802" t="s">
        <v>300</v>
      </c>
      <c r="E802">
        <f t="shared" si="89"/>
        <v>240</v>
      </c>
      <c r="F802" s="5">
        <f t="shared" si="89"/>
        <v>0.26666666666666666</v>
      </c>
    </row>
    <row r="803" spans="1:6" x14ac:dyDescent="0.25">
      <c r="A803" t="s">
        <v>319</v>
      </c>
      <c r="B803" t="s">
        <v>320</v>
      </c>
      <c r="C803" t="s">
        <v>301</v>
      </c>
      <c r="E803">
        <f t="shared" si="89"/>
        <v>360</v>
      </c>
      <c r="F803" s="5">
        <f t="shared" si="89"/>
        <v>0.4</v>
      </c>
    </row>
    <row r="804" spans="1:6" x14ac:dyDescent="0.25">
      <c r="A804" t="s">
        <v>319</v>
      </c>
      <c r="B804" t="s">
        <v>320</v>
      </c>
      <c r="C804" t="s">
        <v>302</v>
      </c>
      <c r="E804">
        <f t="shared" si="89"/>
        <v>900</v>
      </c>
      <c r="F804" s="5">
        <f t="shared" si="89"/>
        <v>1</v>
      </c>
    </row>
    <row r="805" spans="1:6" x14ac:dyDescent="0.25">
      <c r="A805" t="s">
        <v>321</v>
      </c>
      <c r="B805" t="s">
        <v>322</v>
      </c>
      <c r="C805" t="s">
        <v>295</v>
      </c>
      <c r="E805">
        <f t="shared" si="89"/>
        <v>0</v>
      </c>
      <c r="F805" s="5">
        <f t="shared" si="89"/>
        <v>0</v>
      </c>
    </row>
    <row r="806" spans="1:6" x14ac:dyDescent="0.25">
      <c r="A806" t="s">
        <v>321</v>
      </c>
      <c r="B806" t="s">
        <v>322</v>
      </c>
      <c r="C806" t="s">
        <v>408</v>
      </c>
      <c r="E806">
        <f t="shared" si="89"/>
        <v>1</v>
      </c>
      <c r="F806" s="5">
        <f t="shared" si="89"/>
        <v>1.1111111111111111E-3</v>
      </c>
    </row>
    <row r="807" spans="1:6" x14ac:dyDescent="0.25">
      <c r="A807" t="s">
        <v>321</v>
      </c>
      <c r="B807" t="s">
        <v>322</v>
      </c>
      <c r="C807" t="s">
        <v>296</v>
      </c>
      <c r="E807">
        <f t="shared" si="89"/>
        <v>5</v>
      </c>
      <c r="F807" s="5">
        <f t="shared" si="89"/>
        <v>5.5555555555555558E-3</v>
      </c>
    </row>
    <row r="808" spans="1:6" x14ac:dyDescent="0.25">
      <c r="A808" t="s">
        <v>321</v>
      </c>
      <c r="B808" t="s">
        <v>322</v>
      </c>
      <c r="C808" t="s">
        <v>297</v>
      </c>
      <c r="E808">
        <f t="shared" si="89"/>
        <v>7</v>
      </c>
      <c r="F808" s="5">
        <f t="shared" si="89"/>
        <v>7.7777777777777776E-3</v>
      </c>
    </row>
    <row r="809" spans="1:6" x14ac:dyDescent="0.25">
      <c r="A809" t="s">
        <v>321</v>
      </c>
      <c r="B809" t="s">
        <v>322</v>
      </c>
      <c r="C809" t="s">
        <v>298</v>
      </c>
      <c r="E809">
        <f t="shared" si="89"/>
        <v>30</v>
      </c>
      <c r="F809" s="5">
        <f t="shared" si="89"/>
        <v>3.3333333333333333E-2</v>
      </c>
    </row>
    <row r="810" spans="1:6" x14ac:dyDescent="0.25">
      <c r="A810" t="s">
        <v>321</v>
      </c>
      <c r="B810" t="s">
        <v>322</v>
      </c>
      <c r="C810" t="s">
        <v>299</v>
      </c>
      <c r="E810">
        <f t="shared" si="89"/>
        <v>120</v>
      </c>
      <c r="F810" s="5">
        <f t="shared" si="89"/>
        <v>0.13333333333333333</v>
      </c>
    </row>
    <row r="811" spans="1:6" x14ac:dyDescent="0.25">
      <c r="A811" t="s">
        <v>321</v>
      </c>
      <c r="B811" t="s">
        <v>322</v>
      </c>
      <c r="C811" t="s">
        <v>300</v>
      </c>
      <c r="E811">
        <f t="shared" si="89"/>
        <v>240</v>
      </c>
      <c r="F811" s="5">
        <f t="shared" si="89"/>
        <v>0.26666666666666666</v>
      </c>
    </row>
    <row r="812" spans="1:6" x14ac:dyDescent="0.25">
      <c r="A812" t="s">
        <v>321</v>
      </c>
      <c r="B812" t="s">
        <v>322</v>
      </c>
      <c r="C812" t="s">
        <v>301</v>
      </c>
      <c r="E812">
        <f t="shared" si="89"/>
        <v>360</v>
      </c>
      <c r="F812" s="5">
        <f t="shared" si="89"/>
        <v>0.4</v>
      </c>
    </row>
    <row r="813" spans="1:6" x14ac:dyDescent="0.25">
      <c r="A813" t="s">
        <v>321</v>
      </c>
      <c r="B813" t="s">
        <v>322</v>
      </c>
      <c r="C813" t="s">
        <v>302</v>
      </c>
      <c r="E813">
        <f t="shared" si="89"/>
        <v>900</v>
      </c>
      <c r="F813" s="5">
        <f t="shared" si="89"/>
        <v>1</v>
      </c>
    </row>
    <row r="814" spans="1:6" x14ac:dyDescent="0.25">
      <c r="A814" t="s">
        <v>323</v>
      </c>
      <c r="B814" t="s">
        <v>324</v>
      </c>
      <c r="C814" t="s">
        <v>295</v>
      </c>
      <c r="E814">
        <f t="shared" si="89"/>
        <v>0</v>
      </c>
      <c r="F814" s="5">
        <f t="shared" si="89"/>
        <v>0</v>
      </c>
    </row>
    <row r="815" spans="1:6" x14ac:dyDescent="0.25">
      <c r="A815" t="s">
        <v>323</v>
      </c>
      <c r="B815" t="s">
        <v>324</v>
      </c>
      <c r="C815" t="s">
        <v>408</v>
      </c>
      <c r="E815">
        <f t="shared" si="89"/>
        <v>1</v>
      </c>
      <c r="F815" s="5">
        <f t="shared" si="89"/>
        <v>1.1111111111111111E-3</v>
      </c>
    </row>
    <row r="816" spans="1:6" x14ac:dyDescent="0.25">
      <c r="A816" t="s">
        <v>323</v>
      </c>
      <c r="B816" t="s">
        <v>324</v>
      </c>
      <c r="C816" t="s">
        <v>296</v>
      </c>
      <c r="E816">
        <f t="shared" si="89"/>
        <v>5</v>
      </c>
      <c r="F816" s="5">
        <f t="shared" si="89"/>
        <v>5.5555555555555558E-3</v>
      </c>
    </row>
    <row r="817" spans="1:6" x14ac:dyDescent="0.25">
      <c r="A817" t="s">
        <v>323</v>
      </c>
      <c r="B817" t="s">
        <v>324</v>
      </c>
      <c r="C817" t="s">
        <v>297</v>
      </c>
      <c r="E817">
        <f t="shared" si="89"/>
        <v>7</v>
      </c>
      <c r="F817" s="5">
        <f t="shared" si="89"/>
        <v>7.7777777777777776E-3</v>
      </c>
    </row>
    <row r="818" spans="1:6" x14ac:dyDescent="0.25">
      <c r="A818" t="s">
        <v>323</v>
      </c>
      <c r="B818" t="s">
        <v>324</v>
      </c>
      <c r="C818" t="s">
        <v>298</v>
      </c>
      <c r="E818">
        <f t="shared" si="89"/>
        <v>30</v>
      </c>
      <c r="F818" s="5">
        <f t="shared" si="89"/>
        <v>3.3333333333333333E-2</v>
      </c>
    </row>
    <row r="819" spans="1:6" x14ac:dyDescent="0.25">
      <c r="A819" t="s">
        <v>323</v>
      </c>
      <c r="B819" t="s">
        <v>324</v>
      </c>
      <c r="C819" t="s">
        <v>299</v>
      </c>
      <c r="E819">
        <f t="shared" si="89"/>
        <v>120</v>
      </c>
      <c r="F819" s="5">
        <f t="shared" si="89"/>
        <v>0.13333333333333333</v>
      </c>
    </row>
    <row r="820" spans="1:6" x14ac:dyDescent="0.25">
      <c r="A820" t="s">
        <v>323</v>
      </c>
      <c r="B820" t="s">
        <v>324</v>
      </c>
      <c r="C820" t="s">
        <v>300</v>
      </c>
      <c r="E820">
        <f t="shared" si="89"/>
        <v>240</v>
      </c>
      <c r="F820" s="5">
        <f t="shared" si="89"/>
        <v>0.26666666666666666</v>
      </c>
    </row>
    <row r="821" spans="1:6" x14ac:dyDescent="0.25">
      <c r="A821" t="s">
        <v>323</v>
      </c>
      <c r="B821" t="s">
        <v>324</v>
      </c>
      <c r="C821" t="s">
        <v>301</v>
      </c>
      <c r="E821">
        <f t="shared" si="89"/>
        <v>360</v>
      </c>
      <c r="F821" s="5">
        <f t="shared" si="89"/>
        <v>0.4</v>
      </c>
    </row>
    <row r="822" spans="1:6" x14ac:dyDescent="0.25">
      <c r="A822" t="s">
        <v>323</v>
      </c>
      <c r="B822" t="s">
        <v>324</v>
      </c>
      <c r="C822" t="s">
        <v>302</v>
      </c>
      <c r="E822">
        <f t="shared" si="89"/>
        <v>900</v>
      </c>
      <c r="F822" s="5">
        <f t="shared" si="89"/>
        <v>1</v>
      </c>
    </row>
    <row r="823" spans="1:6" x14ac:dyDescent="0.25">
      <c r="A823" t="s">
        <v>325</v>
      </c>
      <c r="B823" t="s">
        <v>326</v>
      </c>
      <c r="C823" t="s">
        <v>295</v>
      </c>
      <c r="E823">
        <f t="shared" si="89"/>
        <v>0</v>
      </c>
      <c r="F823" s="5">
        <f t="shared" si="89"/>
        <v>0</v>
      </c>
    </row>
    <row r="824" spans="1:6" x14ac:dyDescent="0.25">
      <c r="A824" t="s">
        <v>325</v>
      </c>
      <c r="B824" t="s">
        <v>326</v>
      </c>
      <c r="C824" t="s">
        <v>408</v>
      </c>
      <c r="E824">
        <f t="shared" si="89"/>
        <v>1</v>
      </c>
      <c r="F824" s="5">
        <f t="shared" si="89"/>
        <v>1.1111111111111111E-3</v>
      </c>
    </row>
    <row r="825" spans="1:6" x14ac:dyDescent="0.25">
      <c r="A825" t="s">
        <v>325</v>
      </c>
      <c r="B825" t="s">
        <v>326</v>
      </c>
      <c r="C825" t="s">
        <v>296</v>
      </c>
      <c r="E825">
        <f t="shared" si="89"/>
        <v>5</v>
      </c>
      <c r="F825" s="5">
        <f t="shared" si="89"/>
        <v>5.5555555555555558E-3</v>
      </c>
    </row>
    <row r="826" spans="1:6" x14ac:dyDescent="0.25">
      <c r="A826" t="s">
        <v>325</v>
      </c>
      <c r="B826" t="s">
        <v>326</v>
      </c>
      <c r="C826" t="s">
        <v>297</v>
      </c>
      <c r="E826">
        <f t="shared" si="89"/>
        <v>7</v>
      </c>
      <c r="F826" s="5">
        <f t="shared" si="89"/>
        <v>7.7777777777777776E-3</v>
      </c>
    </row>
    <row r="827" spans="1:6" x14ac:dyDescent="0.25">
      <c r="A827" t="s">
        <v>325</v>
      </c>
      <c r="B827" t="s">
        <v>326</v>
      </c>
      <c r="C827" t="s">
        <v>298</v>
      </c>
      <c r="E827">
        <f t="shared" si="89"/>
        <v>30</v>
      </c>
      <c r="F827" s="5">
        <f t="shared" si="89"/>
        <v>3.3333333333333333E-2</v>
      </c>
    </row>
    <row r="828" spans="1:6" x14ac:dyDescent="0.25">
      <c r="A828" t="s">
        <v>325</v>
      </c>
      <c r="B828" t="s">
        <v>326</v>
      </c>
      <c r="C828" t="s">
        <v>299</v>
      </c>
      <c r="E828">
        <f t="shared" si="89"/>
        <v>120</v>
      </c>
      <c r="F828" s="5">
        <f t="shared" si="89"/>
        <v>0.13333333333333333</v>
      </c>
    </row>
    <row r="829" spans="1:6" x14ac:dyDescent="0.25">
      <c r="A829" t="s">
        <v>325</v>
      </c>
      <c r="B829" t="s">
        <v>326</v>
      </c>
      <c r="C829" t="s">
        <v>300</v>
      </c>
      <c r="E829">
        <f t="shared" si="89"/>
        <v>240</v>
      </c>
      <c r="F829" s="5">
        <f t="shared" si="89"/>
        <v>0.26666666666666666</v>
      </c>
    </row>
    <row r="830" spans="1:6" x14ac:dyDescent="0.25">
      <c r="A830" t="s">
        <v>325</v>
      </c>
      <c r="B830" t="s">
        <v>326</v>
      </c>
      <c r="C830" t="s">
        <v>301</v>
      </c>
      <c r="E830">
        <f t="shared" si="89"/>
        <v>360</v>
      </c>
      <c r="F830" s="5">
        <f t="shared" si="89"/>
        <v>0.4</v>
      </c>
    </row>
    <row r="831" spans="1:6" x14ac:dyDescent="0.25">
      <c r="A831" t="s">
        <v>325</v>
      </c>
      <c r="B831" t="s">
        <v>326</v>
      </c>
      <c r="C831" t="s">
        <v>302</v>
      </c>
      <c r="E831">
        <f t="shared" si="89"/>
        <v>900</v>
      </c>
      <c r="F831" s="5">
        <f t="shared" si="89"/>
        <v>1</v>
      </c>
    </row>
    <row r="832" spans="1:6" x14ac:dyDescent="0.25">
      <c r="A832" t="s">
        <v>327</v>
      </c>
      <c r="B832" t="s">
        <v>328</v>
      </c>
      <c r="C832" t="s">
        <v>295</v>
      </c>
      <c r="E832">
        <f t="shared" si="89"/>
        <v>0</v>
      </c>
      <c r="F832" s="5">
        <f t="shared" si="89"/>
        <v>0</v>
      </c>
    </row>
    <row r="833" spans="1:6" x14ac:dyDescent="0.25">
      <c r="A833" t="s">
        <v>327</v>
      </c>
      <c r="B833" t="s">
        <v>328</v>
      </c>
      <c r="C833" t="s">
        <v>408</v>
      </c>
      <c r="E833">
        <f t="shared" si="89"/>
        <v>1</v>
      </c>
      <c r="F833" s="5">
        <f t="shared" si="89"/>
        <v>1.1111111111111111E-3</v>
      </c>
    </row>
    <row r="834" spans="1:6" x14ac:dyDescent="0.25">
      <c r="A834" t="s">
        <v>327</v>
      </c>
      <c r="B834" t="s">
        <v>328</v>
      </c>
      <c r="C834" t="s">
        <v>296</v>
      </c>
      <c r="E834">
        <f t="shared" si="89"/>
        <v>5</v>
      </c>
      <c r="F834" s="5">
        <f t="shared" si="89"/>
        <v>5.5555555555555558E-3</v>
      </c>
    </row>
    <row r="835" spans="1:6" x14ac:dyDescent="0.25">
      <c r="A835" t="s">
        <v>327</v>
      </c>
      <c r="B835" t="s">
        <v>328</v>
      </c>
      <c r="C835" t="s">
        <v>297</v>
      </c>
      <c r="E835">
        <f t="shared" si="89"/>
        <v>7</v>
      </c>
      <c r="F835" s="5">
        <f t="shared" si="89"/>
        <v>7.7777777777777776E-3</v>
      </c>
    </row>
    <row r="836" spans="1:6" x14ac:dyDescent="0.25">
      <c r="A836" t="s">
        <v>327</v>
      </c>
      <c r="B836" t="s">
        <v>328</v>
      </c>
      <c r="C836" t="s">
        <v>298</v>
      </c>
      <c r="E836">
        <f t="shared" si="89"/>
        <v>30</v>
      </c>
      <c r="F836" s="5">
        <f t="shared" si="89"/>
        <v>3.3333333333333333E-2</v>
      </c>
    </row>
    <row r="837" spans="1:6" x14ac:dyDescent="0.25">
      <c r="A837" t="s">
        <v>327</v>
      </c>
      <c r="B837" t="s">
        <v>328</v>
      </c>
      <c r="C837" t="s">
        <v>299</v>
      </c>
      <c r="E837">
        <f t="shared" si="89"/>
        <v>120</v>
      </c>
      <c r="F837" s="5">
        <f t="shared" si="89"/>
        <v>0.13333333333333333</v>
      </c>
    </row>
    <row r="838" spans="1:6" x14ac:dyDescent="0.25">
      <c r="A838" t="s">
        <v>327</v>
      </c>
      <c r="B838" t="s">
        <v>328</v>
      </c>
      <c r="C838" t="s">
        <v>300</v>
      </c>
      <c r="E838">
        <f t="shared" si="89"/>
        <v>240</v>
      </c>
      <c r="F838" s="5">
        <f t="shared" si="89"/>
        <v>0.26666666666666666</v>
      </c>
    </row>
    <row r="839" spans="1:6" x14ac:dyDescent="0.25">
      <c r="A839" t="s">
        <v>327</v>
      </c>
      <c r="B839" t="s">
        <v>328</v>
      </c>
      <c r="C839" t="s">
        <v>301</v>
      </c>
      <c r="E839">
        <f t="shared" si="89"/>
        <v>360</v>
      </c>
      <c r="F839" s="5">
        <f t="shared" si="89"/>
        <v>0.4</v>
      </c>
    </row>
    <row r="840" spans="1:6" x14ac:dyDescent="0.25">
      <c r="A840" t="s">
        <v>327</v>
      </c>
      <c r="B840" t="s">
        <v>328</v>
      </c>
      <c r="C840" t="s">
        <v>302</v>
      </c>
      <c r="E840">
        <f t="shared" si="89"/>
        <v>900</v>
      </c>
      <c r="F840" s="5">
        <f t="shared" si="89"/>
        <v>1</v>
      </c>
    </row>
    <row r="841" spans="1:6" x14ac:dyDescent="0.25">
      <c r="A841" t="s">
        <v>329</v>
      </c>
      <c r="B841" t="s">
        <v>330</v>
      </c>
      <c r="C841" t="s">
        <v>295</v>
      </c>
      <c r="E841">
        <f t="shared" si="89"/>
        <v>0</v>
      </c>
      <c r="F841" s="5">
        <f t="shared" si="89"/>
        <v>0</v>
      </c>
    </row>
    <row r="842" spans="1:6" x14ac:dyDescent="0.25">
      <c r="A842" t="s">
        <v>329</v>
      </c>
      <c r="B842" t="s">
        <v>330</v>
      </c>
      <c r="C842" t="s">
        <v>408</v>
      </c>
      <c r="E842">
        <f t="shared" si="89"/>
        <v>1</v>
      </c>
      <c r="F842" s="5">
        <f t="shared" si="89"/>
        <v>1.1111111111111111E-3</v>
      </c>
    </row>
    <row r="843" spans="1:6" x14ac:dyDescent="0.25">
      <c r="A843" t="s">
        <v>329</v>
      </c>
      <c r="B843" t="s">
        <v>330</v>
      </c>
      <c r="C843" t="s">
        <v>296</v>
      </c>
      <c r="E843">
        <f t="shared" si="89"/>
        <v>5</v>
      </c>
      <c r="F843" s="5">
        <f t="shared" si="89"/>
        <v>5.5555555555555558E-3</v>
      </c>
    </row>
    <row r="844" spans="1:6" x14ac:dyDescent="0.25">
      <c r="A844" t="s">
        <v>329</v>
      </c>
      <c r="B844" t="s">
        <v>330</v>
      </c>
      <c r="C844" t="s">
        <v>297</v>
      </c>
      <c r="E844">
        <f t="shared" si="89"/>
        <v>7</v>
      </c>
      <c r="F844" s="5">
        <f t="shared" si="89"/>
        <v>7.7777777777777776E-3</v>
      </c>
    </row>
    <row r="845" spans="1:6" x14ac:dyDescent="0.25">
      <c r="A845" t="s">
        <v>329</v>
      </c>
      <c r="B845" t="s">
        <v>330</v>
      </c>
      <c r="C845" t="s">
        <v>298</v>
      </c>
      <c r="E845">
        <f t="shared" si="89"/>
        <v>30</v>
      </c>
      <c r="F845" s="5">
        <f t="shared" si="89"/>
        <v>3.3333333333333333E-2</v>
      </c>
    </row>
    <row r="846" spans="1:6" x14ac:dyDescent="0.25">
      <c r="A846" t="s">
        <v>329</v>
      </c>
      <c r="B846" t="s">
        <v>330</v>
      </c>
      <c r="C846" t="s">
        <v>299</v>
      </c>
      <c r="E846">
        <f t="shared" si="89"/>
        <v>120</v>
      </c>
      <c r="F846" s="5">
        <f t="shared" si="89"/>
        <v>0.13333333333333333</v>
      </c>
    </row>
    <row r="847" spans="1:6" x14ac:dyDescent="0.25">
      <c r="A847" t="s">
        <v>329</v>
      </c>
      <c r="B847" t="s">
        <v>330</v>
      </c>
      <c r="C847" t="s">
        <v>300</v>
      </c>
      <c r="E847">
        <f t="shared" si="89"/>
        <v>240</v>
      </c>
      <c r="F847" s="5">
        <f t="shared" si="89"/>
        <v>0.26666666666666666</v>
      </c>
    </row>
    <row r="848" spans="1:6" x14ac:dyDescent="0.25">
      <c r="A848" t="s">
        <v>329</v>
      </c>
      <c r="B848" t="s">
        <v>330</v>
      </c>
      <c r="C848" t="s">
        <v>301</v>
      </c>
      <c r="E848">
        <f t="shared" si="89"/>
        <v>360</v>
      </c>
      <c r="F848" s="5">
        <f t="shared" si="89"/>
        <v>0.4</v>
      </c>
    </row>
    <row r="849" spans="1:6" x14ac:dyDescent="0.25">
      <c r="A849" t="s">
        <v>329</v>
      </c>
      <c r="B849" t="s">
        <v>330</v>
      </c>
      <c r="C849" t="s">
        <v>302</v>
      </c>
      <c r="E849">
        <f t="shared" si="89"/>
        <v>900</v>
      </c>
      <c r="F849" s="5">
        <f t="shared" si="89"/>
        <v>1</v>
      </c>
    </row>
    <row r="850" spans="1:6" s="2" customFormat="1" x14ac:dyDescent="0.25">
      <c r="A850" s="2" t="s">
        <v>331</v>
      </c>
      <c r="B850" s="2" t="s">
        <v>332</v>
      </c>
      <c r="C850" s="2" t="s">
        <v>333</v>
      </c>
      <c r="E850" s="2">
        <f>(52+26)/2</f>
        <v>39</v>
      </c>
      <c r="F850" s="2">
        <f>E850/MAX(E$850:E$854)</f>
        <v>1</v>
      </c>
    </row>
    <row r="851" spans="1:6" s="2" customFormat="1" x14ac:dyDescent="0.25">
      <c r="A851" s="2" t="s">
        <v>331</v>
      </c>
      <c r="B851" s="2" t="s">
        <v>332</v>
      </c>
      <c r="C851" s="2" t="s">
        <v>334</v>
      </c>
      <c r="E851" s="2">
        <v>9</v>
      </c>
      <c r="F851" s="2">
        <f t="shared" ref="F851:F854" si="90">E851/MAX(E$850:E$854)</f>
        <v>0.23076923076923078</v>
      </c>
    </row>
    <row r="852" spans="1:6" s="2" customFormat="1" x14ac:dyDescent="0.25">
      <c r="A852" s="2" t="s">
        <v>331</v>
      </c>
      <c r="B852" s="2" t="s">
        <v>332</v>
      </c>
      <c r="C852" s="2" t="s">
        <v>335</v>
      </c>
      <c r="E852" s="2">
        <v>6</v>
      </c>
      <c r="F852" s="2">
        <f t="shared" si="90"/>
        <v>0.15384615384615385</v>
      </c>
    </row>
    <row r="853" spans="1:6" s="2" customFormat="1" x14ac:dyDescent="0.25">
      <c r="A853" s="2" t="s">
        <v>331</v>
      </c>
      <c r="B853" s="2" t="s">
        <v>332</v>
      </c>
      <c r="C853" s="2" t="s">
        <v>336</v>
      </c>
      <c r="E853" s="2">
        <v>2.5</v>
      </c>
      <c r="F853" s="2">
        <f t="shared" si="90"/>
        <v>6.4102564102564097E-2</v>
      </c>
    </row>
    <row r="854" spans="1:6" s="2" customFormat="1" x14ac:dyDescent="0.25">
      <c r="A854" s="2" t="s">
        <v>331</v>
      </c>
      <c r="B854" s="2" t="s">
        <v>332</v>
      </c>
      <c r="C854" s="2" t="s">
        <v>337</v>
      </c>
      <c r="E854" s="2">
        <v>0</v>
      </c>
      <c r="F854" s="2">
        <f t="shared" si="90"/>
        <v>0</v>
      </c>
    </row>
    <row r="855" spans="1:6" x14ac:dyDescent="0.25">
      <c r="A855" t="s">
        <v>338</v>
      </c>
      <c r="B855" t="s">
        <v>339</v>
      </c>
      <c r="C855" t="s">
        <v>333</v>
      </c>
      <c r="E855">
        <f>E850</f>
        <v>39</v>
      </c>
      <c r="F855" s="5">
        <f>F850</f>
        <v>1</v>
      </c>
    </row>
    <row r="856" spans="1:6" x14ac:dyDescent="0.25">
      <c r="A856" t="s">
        <v>338</v>
      </c>
      <c r="B856" t="s">
        <v>339</v>
      </c>
      <c r="C856" t="s">
        <v>334</v>
      </c>
      <c r="E856">
        <f t="shared" ref="E856:F919" si="91">E851</f>
        <v>9</v>
      </c>
      <c r="F856" s="5">
        <f t="shared" si="91"/>
        <v>0.23076923076923078</v>
      </c>
    </row>
    <row r="857" spans="1:6" x14ac:dyDescent="0.25">
      <c r="A857" t="s">
        <v>338</v>
      </c>
      <c r="B857" t="s">
        <v>339</v>
      </c>
      <c r="C857" t="s">
        <v>335</v>
      </c>
      <c r="E857">
        <f t="shared" si="91"/>
        <v>6</v>
      </c>
      <c r="F857" s="5">
        <f t="shared" si="91"/>
        <v>0.15384615384615385</v>
      </c>
    </row>
    <row r="858" spans="1:6" x14ac:dyDescent="0.25">
      <c r="A858" t="s">
        <v>338</v>
      </c>
      <c r="B858" t="s">
        <v>339</v>
      </c>
      <c r="C858" t="s">
        <v>336</v>
      </c>
      <c r="E858">
        <f t="shared" si="91"/>
        <v>2.5</v>
      </c>
      <c r="F858" s="5">
        <f t="shared" si="91"/>
        <v>6.4102564102564097E-2</v>
      </c>
    </row>
    <row r="859" spans="1:6" x14ac:dyDescent="0.25">
      <c r="A859" t="s">
        <v>338</v>
      </c>
      <c r="B859" t="s">
        <v>339</v>
      </c>
      <c r="C859" t="s">
        <v>337</v>
      </c>
      <c r="E859">
        <f t="shared" si="91"/>
        <v>0</v>
      </c>
      <c r="F859" s="5">
        <f t="shared" si="91"/>
        <v>0</v>
      </c>
    </row>
    <row r="860" spans="1:6" x14ac:dyDescent="0.25">
      <c r="A860" t="s">
        <v>340</v>
      </c>
      <c r="B860" t="s">
        <v>341</v>
      </c>
      <c r="C860" t="s">
        <v>333</v>
      </c>
      <c r="E860">
        <f t="shared" si="91"/>
        <v>39</v>
      </c>
      <c r="F860" s="5">
        <f t="shared" si="91"/>
        <v>1</v>
      </c>
    </row>
    <row r="861" spans="1:6" x14ac:dyDescent="0.25">
      <c r="A861" t="s">
        <v>340</v>
      </c>
      <c r="B861" t="s">
        <v>341</v>
      </c>
      <c r="C861" t="s">
        <v>334</v>
      </c>
      <c r="E861">
        <f t="shared" si="91"/>
        <v>9</v>
      </c>
      <c r="F861" s="5">
        <f t="shared" si="91"/>
        <v>0.23076923076923078</v>
      </c>
    </row>
    <row r="862" spans="1:6" x14ac:dyDescent="0.25">
      <c r="A862" t="s">
        <v>340</v>
      </c>
      <c r="B862" t="s">
        <v>341</v>
      </c>
      <c r="C862" t="s">
        <v>335</v>
      </c>
      <c r="E862">
        <f t="shared" si="91"/>
        <v>6</v>
      </c>
      <c r="F862" s="5">
        <f t="shared" si="91"/>
        <v>0.15384615384615385</v>
      </c>
    </row>
    <row r="863" spans="1:6" x14ac:dyDescent="0.25">
      <c r="A863" t="s">
        <v>340</v>
      </c>
      <c r="B863" t="s">
        <v>341</v>
      </c>
      <c r="C863" t="s">
        <v>336</v>
      </c>
      <c r="E863">
        <f t="shared" si="91"/>
        <v>2.5</v>
      </c>
      <c r="F863" s="5">
        <f t="shared" si="91"/>
        <v>6.4102564102564097E-2</v>
      </c>
    </row>
    <row r="864" spans="1:6" x14ac:dyDescent="0.25">
      <c r="A864" t="s">
        <v>340</v>
      </c>
      <c r="B864" t="s">
        <v>341</v>
      </c>
      <c r="C864" t="s">
        <v>337</v>
      </c>
      <c r="E864">
        <f t="shared" si="91"/>
        <v>0</v>
      </c>
      <c r="F864" s="5">
        <f t="shared" si="91"/>
        <v>0</v>
      </c>
    </row>
    <row r="865" spans="1:6" x14ac:dyDescent="0.25">
      <c r="A865" t="s">
        <v>342</v>
      </c>
      <c r="B865" t="s">
        <v>343</v>
      </c>
      <c r="C865" t="s">
        <v>333</v>
      </c>
      <c r="E865">
        <f t="shared" si="91"/>
        <v>39</v>
      </c>
      <c r="F865" s="5">
        <f t="shared" si="91"/>
        <v>1</v>
      </c>
    </row>
    <row r="866" spans="1:6" x14ac:dyDescent="0.25">
      <c r="A866" t="s">
        <v>342</v>
      </c>
      <c r="B866" t="s">
        <v>343</v>
      </c>
      <c r="C866" t="s">
        <v>334</v>
      </c>
      <c r="E866">
        <f t="shared" si="91"/>
        <v>9</v>
      </c>
      <c r="F866" s="5">
        <f t="shared" si="91"/>
        <v>0.23076923076923078</v>
      </c>
    </row>
    <row r="867" spans="1:6" x14ac:dyDescent="0.25">
      <c r="A867" t="s">
        <v>342</v>
      </c>
      <c r="B867" t="s">
        <v>343</v>
      </c>
      <c r="C867" t="s">
        <v>335</v>
      </c>
      <c r="E867">
        <f t="shared" si="91"/>
        <v>6</v>
      </c>
      <c r="F867" s="5">
        <f t="shared" si="91"/>
        <v>0.15384615384615385</v>
      </c>
    </row>
    <row r="868" spans="1:6" x14ac:dyDescent="0.25">
      <c r="A868" t="s">
        <v>342</v>
      </c>
      <c r="B868" t="s">
        <v>343</v>
      </c>
      <c r="C868" t="s">
        <v>336</v>
      </c>
      <c r="E868">
        <f t="shared" si="91"/>
        <v>2.5</v>
      </c>
      <c r="F868" s="5">
        <f t="shared" si="91"/>
        <v>6.4102564102564097E-2</v>
      </c>
    </row>
    <row r="869" spans="1:6" x14ac:dyDescent="0.25">
      <c r="A869" t="s">
        <v>342</v>
      </c>
      <c r="B869" t="s">
        <v>343</v>
      </c>
      <c r="C869" t="s">
        <v>337</v>
      </c>
      <c r="E869">
        <f t="shared" si="91"/>
        <v>0</v>
      </c>
      <c r="F869" s="5">
        <f t="shared" si="91"/>
        <v>0</v>
      </c>
    </row>
    <row r="870" spans="1:6" x14ac:dyDescent="0.25">
      <c r="A870" t="s">
        <v>344</v>
      </c>
      <c r="B870" t="s">
        <v>345</v>
      </c>
      <c r="C870" t="s">
        <v>333</v>
      </c>
      <c r="E870">
        <f t="shared" si="91"/>
        <v>39</v>
      </c>
      <c r="F870" s="5">
        <f t="shared" si="91"/>
        <v>1</v>
      </c>
    </row>
    <row r="871" spans="1:6" x14ac:dyDescent="0.25">
      <c r="A871" t="s">
        <v>344</v>
      </c>
      <c r="B871" t="s">
        <v>345</v>
      </c>
      <c r="C871" t="s">
        <v>334</v>
      </c>
      <c r="E871">
        <f t="shared" si="91"/>
        <v>9</v>
      </c>
      <c r="F871" s="5">
        <f t="shared" si="91"/>
        <v>0.23076923076923078</v>
      </c>
    </row>
    <row r="872" spans="1:6" x14ac:dyDescent="0.25">
      <c r="A872" t="s">
        <v>344</v>
      </c>
      <c r="B872" t="s">
        <v>345</v>
      </c>
      <c r="C872" t="s">
        <v>335</v>
      </c>
      <c r="E872">
        <f t="shared" si="91"/>
        <v>6</v>
      </c>
      <c r="F872" s="5">
        <f t="shared" si="91"/>
        <v>0.15384615384615385</v>
      </c>
    </row>
    <row r="873" spans="1:6" x14ac:dyDescent="0.25">
      <c r="A873" t="s">
        <v>344</v>
      </c>
      <c r="B873" t="s">
        <v>345</v>
      </c>
      <c r="C873" t="s">
        <v>336</v>
      </c>
      <c r="E873">
        <f t="shared" si="91"/>
        <v>2.5</v>
      </c>
      <c r="F873" s="5">
        <f t="shared" si="91"/>
        <v>6.4102564102564097E-2</v>
      </c>
    </row>
    <row r="874" spans="1:6" x14ac:dyDescent="0.25">
      <c r="A874" t="s">
        <v>344</v>
      </c>
      <c r="B874" t="s">
        <v>345</v>
      </c>
      <c r="C874" t="s">
        <v>337</v>
      </c>
      <c r="E874">
        <f t="shared" si="91"/>
        <v>0</v>
      </c>
      <c r="F874" s="5">
        <f t="shared" si="91"/>
        <v>0</v>
      </c>
    </row>
    <row r="875" spans="1:6" x14ac:dyDescent="0.25">
      <c r="A875" t="s">
        <v>346</v>
      </c>
      <c r="B875" t="s">
        <v>347</v>
      </c>
      <c r="C875" t="s">
        <v>333</v>
      </c>
      <c r="E875">
        <f t="shared" si="91"/>
        <v>39</v>
      </c>
      <c r="F875" s="5">
        <f t="shared" si="91"/>
        <v>1</v>
      </c>
    </row>
    <row r="876" spans="1:6" x14ac:dyDescent="0.25">
      <c r="A876" t="s">
        <v>346</v>
      </c>
      <c r="B876" t="s">
        <v>347</v>
      </c>
      <c r="C876" t="s">
        <v>334</v>
      </c>
      <c r="E876">
        <f t="shared" si="91"/>
        <v>9</v>
      </c>
      <c r="F876" s="5">
        <f t="shared" si="91"/>
        <v>0.23076923076923078</v>
      </c>
    </row>
    <row r="877" spans="1:6" x14ac:dyDescent="0.25">
      <c r="A877" t="s">
        <v>346</v>
      </c>
      <c r="B877" t="s">
        <v>347</v>
      </c>
      <c r="C877" t="s">
        <v>335</v>
      </c>
      <c r="E877">
        <f t="shared" si="91"/>
        <v>6</v>
      </c>
      <c r="F877" s="5">
        <f t="shared" si="91"/>
        <v>0.15384615384615385</v>
      </c>
    </row>
    <row r="878" spans="1:6" x14ac:dyDescent="0.25">
      <c r="A878" t="s">
        <v>346</v>
      </c>
      <c r="B878" t="s">
        <v>347</v>
      </c>
      <c r="C878" t="s">
        <v>336</v>
      </c>
      <c r="E878">
        <f t="shared" si="91"/>
        <v>2.5</v>
      </c>
      <c r="F878" s="5">
        <f t="shared" si="91"/>
        <v>6.4102564102564097E-2</v>
      </c>
    </row>
    <row r="879" spans="1:6" x14ac:dyDescent="0.25">
      <c r="A879" t="s">
        <v>346</v>
      </c>
      <c r="B879" t="s">
        <v>347</v>
      </c>
      <c r="C879" t="s">
        <v>337</v>
      </c>
      <c r="E879">
        <f t="shared" si="91"/>
        <v>0</v>
      </c>
      <c r="F879" s="5">
        <f t="shared" si="91"/>
        <v>0</v>
      </c>
    </row>
    <row r="880" spans="1:6" x14ac:dyDescent="0.25">
      <c r="A880" t="s">
        <v>348</v>
      </c>
      <c r="B880" t="s">
        <v>349</v>
      </c>
      <c r="C880" t="s">
        <v>333</v>
      </c>
      <c r="E880">
        <f t="shared" si="91"/>
        <v>39</v>
      </c>
      <c r="F880" s="5">
        <f t="shared" si="91"/>
        <v>1</v>
      </c>
    </row>
    <row r="881" spans="1:6" x14ac:dyDescent="0.25">
      <c r="A881" t="s">
        <v>348</v>
      </c>
      <c r="B881" t="s">
        <v>349</v>
      </c>
      <c r="C881" t="s">
        <v>334</v>
      </c>
      <c r="E881">
        <f t="shared" si="91"/>
        <v>9</v>
      </c>
      <c r="F881" s="5">
        <f t="shared" si="91"/>
        <v>0.23076923076923078</v>
      </c>
    </row>
    <row r="882" spans="1:6" x14ac:dyDescent="0.25">
      <c r="A882" t="s">
        <v>348</v>
      </c>
      <c r="B882" t="s">
        <v>349</v>
      </c>
      <c r="C882" t="s">
        <v>335</v>
      </c>
      <c r="E882">
        <f t="shared" si="91"/>
        <v>6</v>
      </c>
      <c r="F882" s="5">
        <f t="shared" si="91"/>
        <v>0.15384615384615385</v>
      </c>
    </row>
    <row r="883" spans="1:6" x14ac:dyDescent="0.25">
      <c r="A883" t="s">
        <v>348</v>
      </c>
      <c r="B883" t="s">
        <v>349</v>
      </c>
      <c r="C883" t="s">
        <v>336</v>
      </c>
      <c r="E883">
        <f t="shared" si="91"/>
        <v>2.5</v>
      </c>
      <c r="F883" s="5">
        <f t="shared" si="91"/>
        <v>6.4102564102564097E-2</v>
      </c>
    </row>
    <row r="884" spans="1:6" x14ac:dyDescent="0.25">
      <c r="A884" t="s">
        <v>348</v>
      </c>
      <c r="B884" t="s">
        <v>349</v>
      </c>
      <c r="C884" t="s">
        <v>337</v>
      </c>
      <c r="E884">
        <f t="shared" si="91"/>
        <v>0</v>
      </c>
      <c r="F884" s="5">
        <f t="shared" si="91"/>
        <v>0</v>
      </c>
    </row>
    <row r="885" spans="1:6" x14ac:dyDescent="0.25">
      <c r="A885" t="s">
        <v>350</v>
      </c>
      <c r="B885" t="s">
        <v>351</v>
      </c>
      <c r="C885" t="s">
        <v>333</v>
      </c>
      <c r="E885">
        <f t="shared" si="91"/>
        <v>39</v>
      </c>
      <c r="F885" s="5">
        <f t="shared" si="91"/>
        <v>1</v>
      </c>
    </row>
    <row r="886" spans="1:6" x14ac:dyDescent="0.25">
      <c r="A886" t="s">
        <v>350</v>
      </c>
      <c r="B886" t="s">
        <v>351</v>
      </c>
      <c r="C886" t="s">
        <v>334</v>
      </c>
      <c r="E886">
        <f t="shared" si="91"/>
        <v>9</v>
      </c>
      <c r="F886" s="5">
        <f t="shared" si="91"/>
        <v>0.23076923076923078</v>
      </c>
    </row>
    <row r="887" spans="1:6" x14ac:dyDescent="0.25">
      <c r="A887" t="s">
        <v>350</v>
      </c>
      <c r="B887" t="s">
        <v>351</v>
      </c>
      <c r="C887" t="s">
        <v>335</v>
      </c>
      <c r="E887">
        <f t="shared" si="91"/>
        <v>6</v>
      </c>
      <c r="F887" s="5">
        <f t="shared" si="91"/>
        <v>0.15384615384615385</v>
      </c>
    </row>
    <row r="888" spans="1:6" x14ac:dyDescent="0.25">
      <c r="A888" t="s">
        <v>350</v>
      </c>
      <c r="B888" t="s">
        <v>351</v>
      </c>
      <c r="C888" t="s">
        <v>336</v>
      </c>
      <c r="E888">
        <f t="shared" si="91"/>
        <v>2.5</v>
      </c>
      <c r="F888" s="5">
        <f t="shared" si="91"/>
        <v>6.4102564102564097E-2</v>
      </c>
    </row>
    <row r="889" spans="1:6" x14ac:dyDescent="0.25">
      <c r="A889" t="s">
        <v>350</v>
      </c>
      <c r="B889" t="s">
        <v>351</v>
      </c>
      <c r="C889" t="s">
        <v>337</v>
      </c>
      <c r="E889">
        <f t="shared" si="91"/>
        <v>0</v>
      </c>
      <c r="F889" s="5">
        <f t="shared" si="91"/>
        <v>0</v>
      </c>
    </row>
    <row r="890" spans="1:6" x14ac:dyDescent="0.25">
      <c r="A890" t="s">
        <v>352</v>
      </c>
      <c r="B890" t="s">
        <v>353</v>
      </c>
      <c r="C890" t="s">
        <v>333</v>
      </c>
      <c r="E890">
        <f t="shared" si="91"/>
        <v>39</v>
      </c>
      <c r="F890" s="5">
        <f t="shared" si="91"/>
        <v>1</v>
      </c>
    </row>
    <row r="891" spans="1:6" x14ac:dyDescent="0.25">
      <c r="A891" t="s">
        <v>352</v>
      </c>
      <c r="B891" t="s">
        <v>353</v>
      </c>
      <c r="C891" t="s">
        <v>334</v>
      </c>
      <c r="E891">
        <f t="shared" si="91"/>
        <v>9</v>
      </c>
      <c r="F891" s="5">
        <f t="shared" si="91"/>
        <v>0.23076923076923078</v>
      </c>
    </row>
    <row r="892" spans="1:6" x14ac:dyDescent="0.25">
      <c r="A892" t="s">
        <v>352</v>
      </c>
      <c r="B892" t="s">
        <v>353</v>
      </c>
      <c r="C892" t="s">
        <v>335</v>
      </c>
      <c r="E892">
        <f t="shared" si="91"/>
        <v>6</v>
      </c>
      <c r="F892" s="5">
        <f t="shared" si="91"/>
        <v>0.15384615384615385</v>
      </c>
    </row>
    <row r="893" spans="1:6" x14ac:dyDescent="0.25">
      <c r="A893" t="s">
        <v>352</v>
      </c>
      <c r="B893" t="s">
        <v>353</v>
      </c>
      <c r="C893" t="s">
        <v>336</v>
      </c>
      <c r="E893">
        <f t="shared" si="91"/>
        <v>2.5</v>
      </c>
      <c r="F893" s="5">
        <f t="shared" si="91"/>
        <v>6.4102564102564097E-2</v>
      </c>
    </row>
    <row r="894" spans="1:6" x14ac:dyDescent="0.25">
      <c r="A894" t="s">
        <v>352</v>
      </c>
      <c r="B894" t="s">
        <v>353</v>
      </c>
      <c r="C894" t="s">
        <v>337</v>
      </c>
      <c r="E894">
        <f t="shared" si="91"/>
        <v>0</v>
      </c>
      <c r="F894" s="5">
        <f t="shared" si="91"/>
        <v>0</v>
      </c>
    </row>
    <row r="895" spans="1:6" x14ac:dyDescent="0.25">
      <c r="A895" t="s">
        <v>354</v>
      </c>
      <c r="B895" t="s">
        <v>355</v>
      </c>
      <c r="C895" t="s">
        <v>333</v>
      </c>
      <c r="E895">
        <f t="shared" si="91"/>
        <v>39</v>
      </c>
      <c r="F895" s="5">
        <f t="shared" si="91"/>
        <v>1</v>
      </c>
    </row>
    <row r="896" spans="1:6" x14ac:dyDescent="0.25">
      <c r="A896" t="s">
        <v>354</v>
      </c>
      <c r="B896" t="s">
        <v>355</v>
      </c>
      <c r="C896" t="s">
        <v>334</v>
      </c>
      <c r="E896">
        <f t="shared" si="91"/>
        <v>9</v>
      </c>
      <c r="F896" s="5">
        <f t="shared" si="91"/>
        <v>0.23076923076923078</v>
      </c>
    </row>
    <row r="897" spans="1:6" x14ac:dyDescent="0.25">
      <c r="A897" t="s">
        <v>354</v>
      </c>
      <c r="B897" t="s">
        <v>355</v>
      </c>
      <c r="C897" t="s">
        <v>335</v>
      </c>
      <c r="E897">
        <f t="shared" si="91"/>
        <v>6</v>
      </c>
      <c r="F897" s="5">
        <f t="shared" si="91"/>
        <v>0.15384615384615385</v>
      </c>
    </row>
    <row r="898" spans="1:6" x14ac:dyDescent="0.25">
      <c r="A898" t="s">
        <v>354</v>
      </c>
      <c r="B898" t="s">
        <v>355</v>
      </c>
      <c r="C898" t="s">
        <v>336</v>
      </c>
      <c r="E898">
        <f t="shared" si="91"/>
        <v>2.5</v>
      </c>
      <c r="F898" s="5">
        <f t="shared" si="91"/>
        <v>6.4102564102564097E-2</v>
      </c>
    </row>
    <row r="899" spans="1:6" x14ac:dyDescent="0.25">
      <c r="A899" t="s">
        <v>354</v>
      </c>
      <c r="B899" t="s">
        <v>355</v>
      </c>
      <c r="C899" t="s">
        <v>337</v>
      </c>
      <c r="E899">
        <f t="shared" si="91"/>
        <v>0</v>
      </c>
      <c r="F899" s="5">
        <f t="shared" si="91"/>
        <v>0</v>
      </c>
    </row>
    <row r="900" spans="1:6" x14ac:dyDescent="0.25">
      <c r="A900" t="s">
        <v>356</v>
      </c>
      <c r="B900" t="s">
        <v>357</v>
      </c>
      <c r="C900" t="s">
        <v>333</v>
      </c>
      <c r="E900">
        <f t="shared" si="91"/>
        <v>39</v>
      </c>
      <c r="F900" s="5">
        <f t="shared" si="91"/>
        <v>1</v>
      </c>
    </row>
    <row r="901" spans="1:6" x14ac:dyDescent="0.25">
      <c r="A901" t="s">
        <v>356</v>
      </c>
      <c r="B901" t="s">
        <v>357</v>
      </c>
      <c r="C901" t="s">
        <v>334</v>
      </c>
      <c r="E901">
        <f t="shared" si="91"/>
        <v>9</v>
      </c>
      <c r="F901" s="5">
        <f t="shared" si="91"/>
        <v>0.23076923076923078</v>
      </c>
    </row>
    <row r="902" spans="1:6" x14ac:dyDescent="0.25">
      <c r="A902" t="s">
        <v>356</v>
      </c>
      <c r="B902" t="s">
        <v>357</v>
      </c>
      <c r="C902" t="s">
        <v>335</v>
      </c>
      <c r="E902">
        <f t="shared" si="91"/>
        <v>6</v>
      </c>
      <c r="F902" s="5">
        <f t="shared" si="91"/>
        <v>0.15384615384615385</v>
      </c>
    </row>
    <row r="903" spans="1:6" x14ac:dyDescent="0.25">
      <c r="A903" t="s">
        <v>356</v>
      </c>
      <c r="B903" t="s">
        <v>357</v>
      </c>
      <c r="C903" t="s">
        <v>336</v>
      </c>
      <c r="E903">
        <f t="shared" si="91"/>
        <v>2.5</v>
      </c>
      <c r="F903" s="5">
        <f t="shared" si="91"/>
        <v>6.4102564102564097E-2</v>
      </c>
    </row>
    <row r="904" spans="1:6" x14ac:dyDescent="0.25">
      <c r="A904" t="s">
        <v>356</v>
      </c>
      <c r="B904" t="s">
        <v>357</v>
      </c>
      <c r="C904" t="s">
        <v>337</v>
      </c>
      <c r="E904">
        <f t="shared" si="91"/>
        <v>0</v>
      </c>
      <c r="F904" s="5">
        <f t="shared" si="91"/>
        <v>0</v>
      </c>
    </row>
    <row r="905" spans="1:6" x14ac:dyDescent="0.25">
      <c r="A905" t="s">
        <v>358</v>
      </c>
      <c r="B905" t="s">
        <v>359</v>
      </c>
      <c r="C905" t="s">
        <v>333</v>
      </c>
      <c r="E905">
        <f t="shared" si="91"/>
        <v>39</v>
      </c>
      <c r="F905" s="5">
        <f t="shared" si="91"/>
        <v>1</v>
      </c>
    </row>
    <row r="906" spans="1:6" x14ac:dyDescent="0.25">
      <c r="A906" t="s">
        <v>358</v>
      </c>
      <c r="B906" t="s">
        <v>359</v>
      </c>
      <c r="C906" t="s">
        <v>334</v>
      </c>
      <c r="E906">
        <f t="shared" si="91"/>
        <v>9</v>
      </c>
      <c r="F906" s="5">
        <f t="shared" si="91"/>
        <v>0.23076923076923078</v>
      </c>
    </row>
    <row r="907" spans="1:6" x14ac:dyDescent="0.25">
      <c r="A907" t="s">
        <v>358</v>
      </c>
      <c r="B907" t="s">
        <v>359</v>
      </c>
      <c r="C907" t="s">
        <v>335</v>
      </c>
      <c r="E907">
        <f t="shared" si="91"/>
        <v>6</v>
      </c>
      <c r="F907" s="5">
        <f t="shared" si="91"/>
        <v>0.15384615384615385</v>
      </c>
    </row>
    <row r="908" spans="1:6" x14ac:dyDescent="0.25">
      <c r="A908" t="s">
        <v>358</v>
      </c>
      <c r="B908" t="s">
        <v>359</v>
      </c>
      <c r="C908" t="s">
        <v>336</v>
      </c>
      <c r="E908">
        <f t="shared" si="91"/>
        <v>2.5</v>
      </c>
      <c r="F908" s="5">
        <f t="shared" si="91"/>
        <v>6.4102564102564097E-2</v>
      </c>
    </row>
    <row r="909" spans="1:6" x14ac:dyDescent="0.25">
      <c r="A909" t="s">
        <v>358</v>
      </c>
      <c r="B909" t="s">
        <v>359</v>
      </c>
      <c r="C909" t="s">
        <v>337</v>
      </c>
      <c r="E909">
        <f t="shared" si="91"/>
        <v>0</v>
      </c>
      <c r="F909" s="5">
        <f t="shared" si="91"/>
        <v>0</v>
      </c>
    </row>
    <row r="910" spans="1:6" x14ac:dyDescent="0.25">
      <c r="A910" t="s">
        <v>360</v>
      </c>
      <c r="B910" t="s">
        <v>361</v>
      </c>
      <c r="C910" t="s">
        <v>333</v>
      </c>
      <c r="E910">
        <f t="shared" si="91"/>
        <v>39</v>
      </c>
      <c r="F910" s="5">
        <f t="shared" si="91"/>
        <v>1</v>
      </c>
    </row>
    <row r="911" spans="1:6" x14ac:dyDescent="0.25">
      <c r="A911" t="s">
        <v>360</v>
      </c>
      <c r="B911" t="s">
        <v>361</v>
      </c>
      <c r="C911" t="s">
        <v>334</v>
      </c>
      <c r="E911">
        <f t="shared" si="91"/>
        <v>9</v>
      </c>
      <c r="F911" s="5">
        <f t="shared" si="91"/>
        <v>0.23076923076923078</v>
      </c>
    </row>
    <row r="912" spans="1:6" x14ac:dyDescent="0.25">
      <c r="A912" t="s">
        <v>360</v>
      </c>
      <c r="B912" t="s">
        <v>361</v>
      </c>
      <c r="C912" t="s">
        <v>335</v>
      </c>
      <c r="E912">
        <f t="shared" si="91"/>
        <v>6</v>
      </c>
      <c r="F912" s="5">
        <f t="shared" si="91"/>
        <v>0.15384615384615385</v>
      </c>
    </row>
    <row r="913" spans="1:6" x14ac:dyDescent="0.25">
      <c r="A913" t="s">
        <v>360</v>
      </c>
      <c r="B913" t="s">
        <v>361</v>
      </c>
      <c r="C913" t="s">
        <v>336</v>
      </c>
      <c r="E913">
        <f t="shared" si="91"/>
        <v>2.5</v>
      </c>
      <c r="F913" s="5">
        <f t="shared" si="91"/>
        <v>6.4102564102564097E-2</v>
      </c>
    </row>
    <row r="914" spans="1:6" x14ac:dyDescent="0.25">
      <c r="A914" t="s">
        <v>360</v>
      </c>
      <c r="B914" t="s">
        <v>361</v>
      </c>
      <c r="C914" t="s">
        <v>337</v>
      </c>
      <c r="E914">
        <f t="shared" si="91"/>
        <v>0</v>
      </c>
      <c r="F914" s="5">
        <f t="shared" si="91"/>
        <v>0</v>
      </c>
    </row>
    <row r="915" spans="1:6" x14ac:dyDescent="0.25">
      <c r="A915" t="s">
        <v>362</v>
      </c>
      <c r="B915" t="s">
        <v>363</v>
      </c>
      <c r="C915" t="s">
        <v>333</v>
      </c>
      <c r="E915">
        <f t="shared" si="91"/>
        <v>39</v>
      </c>
      <c r="F915" s="5">
        <f t="shared" si="91"/>
        <v>1</v>
      </c>
    </row>
    <row r="916" spans="1:6" x14ac:dyDescent="0.25">
      <c r="A916" t="s">
        <v>362</v>
      </c>
      <c r="B916" t="s">
        <v>363</v>
      </c>
      <c r="C916" t="s">
        <v>334</v>
      </c>
      <c r="E916">
        <f t="shared" si="91"/>
        <v>9</v>
      </c>
      <c r="F916" s="5">
        <f t="shared" si="91"/>
        <v>0.23076923076923078</v>
      </c>
    </row>
    <row r="917" spans="1:6" x14ac:dyDescent="0.25">
      <c r="A917" t="s">
        <v>362</v>
      </c>
      <c r="B917" t="s">
        <v>363</v>
      </c>
      <c r="C917" t="s">
        <v>335</v>
      </c>
      <c r="E917">
        <f t="shared" si="91"/>
        <v>6</v>
      </c>
      <c r="F917" s="5">
        <f t="shared" si="91"/>
        <v>0.15384615384615385</v>
      </c>
    </row>
    <row r="918" spans="1:6" x14ac:dyDescent="0.25">
      <c r="A918" t="s">
        <v>362</v>
      </c>
      <c r="B918" t="s">
        <v>363</v>
      </c>
      <c r="C918" t="s">
        <v>336</v>
      </c>
      <c r="E918">
        <f t="shared" si="91"/>
        <v>2.5</v>
      </c>
      <c r="F918" s="5">
        <f t="shared" si="91"/>
        <v>6.4102564102564097E-2</v>
      </c>
    </row>
    <row r="919" spans="1:6" x14ac:dyDescent="0.25">
      <c r="A919" t="s">
        <v>362</v>
      </c>
      <c r="B919" t="s">
        <v>363</v>
      </c>
      <c r="C919" t="s">
        <v>337</v>
      </c>
      <c r="E919">
        <f t="shared" si="91"/>
        <v>0</v>
      </c>
      <c r="F919" s="5">
        <f t="shared" si="91"/>
        <v>0</v>
      </c>
    </row>
    <row r="920" spans="1:6" s="2" customFormat="1" x14ac:dyDescent="0.25">
      <c r="A920" s="2" t="s">
        <v>399</v>
      </c>
      <c r="B920" s="2" t="s">
        <v>364</v>
      </c>
      <c r="C920" s="2" t="s">
        <v>365</v>
      </c>
      <c r="E920" s="2">
        <v>2</v>
      </c>
      <c r="F920" s="2">
        <f>E920/MAX(E$920:E$922)</f>
        <v>0.66666666666666663</v>
      </c>
    </row>
    <row r="921" spans="1:6" s="2" customFormat="1" x14ac:dyDescent="0.25">
      <c r="A921" s="2" t="s">
        <v>399</v>
      </c>
      <c r="B921" s="2" t="s">
        <v>364</v>
      </c>
      <c r="C921" s="2" t="s">
        <v>366</v>
      </c>
      <c r="E921" s="2">
        <v>1</v>
      </c>
      <c r="F921" s="2">
        <f t="shared" ref="F921:F922" si="92">E921/MAX(E$920:E$922)</f>
        <v>0.33333333333333331</v>
      </c>
    </row>
    <row r="922" spans="1:6" s="2" customFormat="1" x14ac:dyDescent="0.25">
      <c r="A922" s="2" t="s">
        <v>399</v>
      </c>
      <c r="B922" s="2" t="s">
        <v>364</v>
      </c>
      <c r="C922" s="2" t="s">
        <v>367</v>
      </c>
      <c r="E922" s="2">
        <v>3</v>
      </c>
      <c r="F922" s="2">
        <f t="shared" si="92"/>
        <v>1</v>
      </c>
    </row>
    <row r="923" spans="1:6" s="2" customFormat="1" x14ac:dyDescent="0.25">
      <c r="A923" s="2" t="s">
        <v>400</v>
      </c>
      <c r="B923" s="2" t="s">
        <v>368</v>
      </c>
      <c r="C923" s="1" t="s">
        <v>404</v>
      </c>
      <c r="E923" s="2">
        <f>6/7</f>
        <v>0.8571428571428571</v>
      </c>
      <c r="F923" s="2">
        <f>E923/MAX(E$923:E$930)</f>
        <v>0.8571428571428571</v>
      </c>
    </row>
    <row r="924" spans="1:6" s="2" customFormat="1" x14ac:dyDescent="0.25">
      <c r="A924" s="2" t="s">
        <v>400</v>
      </c>
      <c r="B924" s="2" t="s">
        <v>368</v>
      </c>
      <c r="C924" s="1" t="s">
        <v>405</v>
      </c>
      <c r="E924" s="2">
        <v>0.5</v>
      </c>
      <c r="F924" s="2">
        <f t="shared" ref="F924:F930" si="93">E924/MAX(E$923:E$930)</f>
        <v>0.5</v>
      </c>
    </row>
    <row r="925" spans="1:6" s="2" customFormat="1" x14ac:dyDescent="0.25">
      <c r="A925" s="2" t="s">
        <v>400</v>
      </c>
      <c r="B925" s="2" t="s">
        <v>368</v>
      </c>
      <c r="C925" s="1" t="s">
        <v>406</v>
      </c>
      <c r="E925" s="2">
        <v>1</v>
      </c>
      <c r="F925" s="2">
        <f t="shared" si="93"/>
        <v>1</v>
      </c>
    </row>
    <row r="926" spans="1:6" s="2" customFormat="1" x14ac:dyDescent="0.25">
      <c r="A926" s="2" t="s">
        <v>400</v>
      </c>
      <c r="B926" s="2" t="s">
        <v>368</v>
      </c>
      <c r="C926" s="2" t="s">
        <v>4</v>
      </c>
      <c r="E926" s="2">
        <v>0</v>
      </c>
      <c r="F926" s="2">
        <f t="shared" si="93"/>
        <v>0</v>
      </c>
    </row>
    <row r="927" spans="1:6" s="2" customFormat="1" x14ac:dyDescent="0.25">
      <c r="A927" s="2" t="s">
        <v>400</v>
      </c>
      <c r="B927" s="2" t="s">
        <v>368</v>
      </c>
      <c r="C927" s="2" t="s">
        <v>195</v>
      </c>
      <c r="E927" s="2">
        <f>0.5/7</f>
        <v>7.1428571428571425E-2</v>
      </c>
      <c r="F927" s="2">
        <f t="shared" si="93"/>
        <v>7.1428571428571425E-2</v>
      </c>
    </row>
    <row r="928" spans="1:6" s="2" customFormat="1" x14ac:dyDescent="0.25">
      <c r="A928" s="2" t="s">
        <v>400</v>
      </c>
      <c r="B928" s="2" t="s">
        <v>368</v>
      </c>
      <c r="C928" s="2" t="s">
        <v>369</v>
      </c>
      <c r="E928" s="2">
        <f>1.5/7</f>
        <v>0.21428571428571427</v>
      </c>
      <c r="F928" s="2">
        <f t="shared" si="93"/>
        <v>0.21428571428571427</v>
      </c>
    </row>
    <row r="929" spans="1:6" s="2" customFormat="1" x14ac:dyDescent="0.25">
      <c r="A929" s="2" t="s">
        <v>400</v>
      </c>
      <c r="B929" s="2" t="s">
        <v>368</v>
      </c>
      <c r="C929" s="2" t="s">
        <v>197</v>
      </c>
      <c r="E929" s="2">
        <f>2.5/7</f>
        <v>0.35714285714285715</v>
      </c>
      <c r="F929" s="2">
        <f t="shared" si="93"/>
        <v>0.35714285714285715</v>
      </c>
    </row>
    <row r="930" spans="1:6" s="2" customFormat="1" x14ac:dyDescent="0.25">
      <c r="A930" s="2" t="s">
        <v>400</v>
      </c>
      <c r="B930" s="2" t="s">
        <v>368</v>
      </c>
      <c r="C930" s="2" t="s">
        <v>198</v>
      </c>
      <c r="E930" s="2">
        <f>5/7</f>
        <v>0.7142857142857143</v>
      </c>
      <c r="F930" s="2">
        <f t="shared" si="93"/>
        <v>0.7142857142857143</v>
      </c>
    </row>
    <row r="931" spans="1:6" s="2" customFormat="1" x14ac:dyDescent="0.25">
      <c r="A931" s="2" t="s">
        <v>370</v>
      </c>
      <c r="B931" s="2" t="s">
        <v>371</v>
      </c>
      <c r="E931" s="2">
        <v>0</v>
      </c>
      <c r="F931" s="2">
        <f>E931/MAX(E$931:E$935)</f>
        <v>0</v>
      </c>
    </row>
    <row r="932" spans="1:6" s="2" customFormat="1" x14ac:dyDescent="0.25">
      <c r="A932" s="2" t="s">
        <v>370</v>
      </c>
      <c r="B932" s="2" t="s">
        <v>371</v>
      </c>
      <c r="C932" s="2" t="s">
        <v>372</v>
      </c>
      <c r="E932" s="2">
        <v>0</v>
      </c>
      <c r="F932" s="2">
        <f t="shared" ref="F932:F935" si="94">E932/MAX(E$931:E$935)</f>
        <v>0</v>
      </c>
    </row>
    <row r="933" spans="1:6" s="2" customFormat="1" x14ac:dyDescent="0.25">
      <c r="A933" s="2" t="s">
        <v>370</v>
      </c>
      <c r="B933" s="2" t="s">
        <v>371</v>
      </c>
      <c r="C933" s="2" t="s">
        <v>373</v>
      </c>
      <c r="E933" s="2">
        <v>4</v>
      </c>
      <c r="F933" s="2">
        <f t="shared" si="94"/>
        <v>0.2857142857142857</v>
      </c>
    </row>
    <row r="934" spans="1:6" s="2" customFormat="1" x14ac:dyDescent="0.25">
      <c r="A934" s="2" t="s">
        <v>370</v>
      </c>
      <c r="B934" s="2" t="s">
        <v>371</v>
      </c>
      <c r="C934" s="2" t="s">
        <v>374</v>
      </c>
      <c r="E934" s="2">
        <v>10</v>
      </c>
      <c r="F934" s="2">
        <f t="shared" si="94"/>
        <v>0.7142857142857143</v>
      </c>
    </row>
    <row r="935" spans="1:6" s="2" customFormat="1" x14ac:dyDescent="0.25">
      <c r="A935" s="2" t="s">
        <v>370</v>
      </c>
      <c r="B935" s="2" t="s">
        <v>371</v>
      </c>
      <c r="C935" s="2" t="s">
        <v>375</v>
      </c>
      <c r="E935" s="2">
        <v>14</v>
      </c>
      <c r="F935" s="2">
        <f t="shared" si="94"/>
        <v>1</v>
      </c>
    </row>
    <row r="936" spans="1:6" x14ac:dyDescent="0.25">
      <c r="A936" s="5" t="s">
        <v>370</v>
      </c>
      <c r="B936" t="s">
        <v>377</v>
      </c>
      <c r="D936" s="5"/>
      <c r="E936" s="5">
        <f>E931</f>
        <v>0</v>
      </c>
      <c r="F936" s="5">
        <f>F931</f>
        <v>0</v>
      </c>
    </row>
    <row r="937" spans="1:6" x14ac:dyDescent="0.25">
      <c r="A937" t="s">
        <v>376</v>
      </c>
      <c r="B937" t="s">
        <v>377</v>
      </c>
      <c r="C937" t="s">
        <v>372</v>
      </c>
      <c r="E937">
        <f>E932</f>
        <v>0</v>
      </c>
      <c r="F937" s="5">
        <f>F932</f>
        <v>0</v>
      </c>
    </row>
    <row r="938" spans="1:6" x14ac:dyDescent="0.25">
      <c r="A938" t="s">
        <v>376</v>
      </c>
      <c r="B938" t="s">
        <v>377</v>
      </c>
      <c r="C938" t="s">
        <v>373</v>
      </c>
      <c r="E938">
        <f>E933</f>
        <v>4</v>
      </c>
      <c r="F938" s="5">
        <f>F933</f>
        <v>0.2857142857142857</v>
      </c>
    </row>
    <row r="939" spans="1:6" x14ac:dyDescent="0.25">
      <c r="A939" t="s">
        <v>376</v>
      </c>
      <c r="B939" t="s">
        <v>377</v>
      </c>
      <c r="C939" t="s">
        <v>374</v>
      </c>
      <c r="E939">
        <f>E934</f>
        <v>10</v>
      </c>
      <c r="F939" s="5">
        <f>F934</f>
        <v>0.7142857142857143</v>
      </c>
    </row>
    <row r="940" spans="1:6" x14ac:dyDescent="0.25">
      <c r="A940" t="s">
        <v>376</v>
      </c>
      <c r="B940" t="s">
        <v>377</v>
      </c>
      <c r="C940" t="s">
        <v>375</v>
      </c>
      <c r="E940">
        <f>E935</f>
        <v>14</v>
      </c>
      <c r="F940" s="5">
        <f>F935</f>
        <v>1</v>
      </c>
    </row>
    <row r="941" spans="1:6" x14ac:dyDescent="0.25">
      <c r="A941" s="5" t="s">
        <v>370</v>
      </c>
      <c r="B941" t="s">
        <v>379</v>
      </c>
      <c r="D941" s="5"/>
      <c r="E941" s="5">
        <f>E936</f>
        <v>0</v>
      </c>
      <c r="F941" s="5">
        <f>F936</f>
        <v>0</v>
      </c>
    </row>
    <row r="942" spans="1:6" x14ac:dyDescent="0.25">
      <c r="A942" t="s">
        <v>378</v>
      </c>
      <c r="B942" t="s">
        <v>379</v>
      </c>
      <c r="C942" t="s">
        <v>372</v>
      </c>
      <c r="E942">
        <f>E937</f>
        <v>0</v>
      </c>
      <c r="F942" s="5">
        <f>F937</f>
        <v>0</v>
      </c>
    </row>
    <row r="943" spans="1:6" x14ac:dyDescent="0.25">
      <c r="A943" t="s">
        <v>378</v>
      </c>
      <c r="B943" t="s">
        <v>379</v>
      </c>
      <c r="C943" t="s">
        <v>373</v>
      </c>
      <c r="E943">
        <f>E938</f>
        <v>4</v>
      </c>
      <c r="F943" s="5">
        <f>F938</f>
        <v>0.2857142857142857</v>
      </c>
    </row>
    <row r="944" spans="1:6" x14ac:dyDescent="0.25">
      <c r="A944" t="s">
        <v>378</v>
      </c>
      <c r="B944" t="s">
        <v>379</v>
      </c>
      <c r="C944" t="s">
        <v>374</v>
      </c>
      <c r="E944">
        <f>E939</f>
        <v>10</v>
      </c>
      <c r="F944" s="5">
        <f>F939</f>
        <v>0.7142857142857143</v>
      </c>
    </row>
    <row r="945" spans="1:6" x14ac:dyDescent="0.25">
      <c r="A945" t="s">
        <v>378</v>
      </c>
      <c r="B945" t="s">
        <v>379</v>
      </c>
      <c r="C945" t="s">
        <v>375</v>
      </c>
      <c r="E945">
        <f>E940</f>
        <v>14</v>
      </c>
      <c r="F945" s="5">
        <f>F940</f>
        <v>1</v>
      </c>
    </row>
    <row r="946" spans="1:6" x14ac:dyDescent="0.25">
      <c r="A946" s="5" t="s">
        <v>370</v>
      </c>
      <c r="B946" t="s">
        <v>381</v>
      </c>
      <c r="D946" s="5"/>
      <c r="E946" s="5">
        <f>E941</f>
        <v>0</v>
      </c>
      <c r="F946" s="5">
        <f>F941</f>
        <v>0</v>
      </c>
    </row>
    <row r="947" spans="1:6" x14ac:dyDescent="0.25">
      <c r="A947" t="s">
        <v>380</v>
      </c>
      <c r="B947" t="s">
        <v>381</v>
      </c>
      <c r="C947" t="s">
        <v>372</v>
      </c>
      <c r="E947">
        <f>E942</f>
        <v>0</v>
      </c>
      <c r="F947" s="5">
        <f>F942</f>
        <v>0</v>
      </c>
    </row>
    <row r="948" spans="1:6" x14ac:dyDescent="0.25">
      <c r="A948" t="s">
        <v>380</v>
      </c>
      <c r="B948" t="s">
        <v>381</v>
      </c>
      <c r="C948" t="s">
        <v>373</v>
      </c>
      <c r="E948">
        <f>E943</f>
        <v>4</v>
      </c>
      <c r="F948" s="5">
        <f>F943</f>
        <v>0.2857142857142857</v>
      </c>
    </row>
    <row r="949" spans="1:6" x14ac:dyDescent="0.25">
      <c r="A949" t="s">
        <v>380</v>
      </c>
      <c r="B949" t="s">
        <v>381</v>
      </c>
      <c r="C949" t="s">
        <v>374</v>
      </c>
      <c r="E949">
        <f>E944</f>
        <v>10</v>
      </c>
      <c r="F949" s="5">
        <f>F944</f>
        <v>0.7142857142857143</v>
      </c>
    </row>
    <row r="950" spans="1:6" x14ac:dyDescent="0.25">
      <c r="A950" t="s">
        <v>380</v>
      </c>
      <c r="B950" t="s">
        <v>381</v>
      </c>
      <c r="C950" t="s">
        <v>375</v>
      </c>
      <c r="E950">
        <f>E945</f>
        <v>14</v>
      </c>
      <c r="F950" s="5">
        <f>F945</f>
        <v>1</v>
      </c>
    </row>
    <row r="951" spans="1:6" x14ac:dyDescent="0.25">
      <c r="A951" s="5" t="s">
        <v>370</v>
      </c>
      <c r="B951" t="s">
        <v>383</v>
      </c>
      <c r="D951" s="5"/>
      <c r="E951" s="5">
        <f>E946</f>
        <v>0</v>
      </c>
      <c r="F951" s="5">
        <f>F946</f>
        <v>0</v>
      </c>
    </row>
    <row r="952" spans="1:6" x14ac:dyDescent="0.25">
      <c r="A952" t="s">
        <v>382</v>
      </c>
      <c r="B952" t="s">
        <v>383</v>
      </c>
      <c r="C952" t="s">
        <v>372</v>
      </c>
      <c r="E952">
        <f>E947</f>
        <v>0</v>
      </c>
      <c r="F952" s="5">
        <f>F947</f>
        <v>0</v>
      </c>
    </row>
    <row r="953" spans="1:6" x14ac:dyDescent="0.25">
      <c r="A953" t="s">
        <v>382</v>
      </c>
      <c r="B953" t="s">
        <v>383</v>
      </c>
      <c r="C953" t="s">
        <v>373</v>
      </c>
      <c r="E953">
        <f>E948</f>
        <v>4</v>
      </c>
      <c r="F953" s="5">
        <f>F948</f>
        <v>0.2857142857142857</v>
      </c>
    </row>
    <row r="954" spans="1:6" x14ac:dyDescent="0.25">
      <c r="A954" t="s">
        <v>382</v>
      </c>
      <c r="B954" t="s">
        <v>383</v>
      </c>
      <c r="C954" t="s">
        <v>374</v>
      </c>
      <c r="E954">
        <f>E949</f>
        <v>10</v>
      </c>
      <c r="F954" s="5">
        <f>F949</f>
        <v>0.7142857142857143</v>
      </c>
    </row>
    <row r="955" spans="1:6" x14ac:dyDescent="0.25">
      <c r="A955" t="s">
        <v>382</v>
      </c>
      <c r="B955" t="s">
        <v>383</v>
      </c>
      <c r="C955" t="s">
        <v>375</v>
      </c>
      <c r="E955">
        <f>E950</f>
        <v>14</v>
      </c>
      <c r="F955" s="5">
        <f>F950</f>
        <v>1</v>
      </c>
    </row>
    <row r="956" spans="1:6" x14ac:dyDescent="0.25">
      <c r="A956" s="5" t="s">
        <v>370</v>
      </c>
      <c r="B956" t="s">
        <v>385</v>
      </c>
      <c r="D956" s="5"/>
      <c r="E956" s="5">
        <f>E951</f>
        <v>0</v>
      </c>
      <c r="F956" s="5">
        <f>F951</f>
        <v>0</v>
      </c>
    </row>
    <row r="957" spans="1:6" x14ac:dyDescent="0.25">
      <c r="A957" t="s">
        <v>384</v>
      </c>
      <c r="B957" t="s">
        <v>385</v>
      </c>
      <c r="C957" t="s">
        <v>372</v>
      </c>
      <c r="E957">
        <f>E952</f>
        <v>0</v>
      </c>
      <c r="F957" s="5">
        <f>F952</f>
        <v>0</v>
      </c>
    </row>
    <row r="958" spans="1:6" x14ac:dyDescent="0.25">
      <c r="A958" t="s">
        <v>384</v>
      </c>
      <c r="B958" t="s">
        <v>385</v>
      </c>
      <c r="C958" t="s">
        <v>373</v>
      </c>
      <c r="E958">
        <f>E953</f>
        <v>4</v>
      </c>
      <c r="F958" s="5">
        <f>F953</f>
        <v>0.2857142857142857</v>
      </c>
    </row>
    <row r="959" spans="1:6" x14ac:dyDescent="0.25">
      <c r="A959" t="s">
        <v>384</v>
      </c>
      <c r="B959" t="s">
        <v>385</v>
      </c>
      <c r="C959" t="s">
        <v>374</v>
      </c>
      <c r="E959">
        <f>E954</f>
        <v>10</v>
      </c>
      <c r="F959" s="5">
        <f>F954</f>
        <v>0.7142857142857143</v>
      </c>
    </row>
    <row r="960" spans="1:6" x14ac:dyDescent="0.25">
      <c r="A960" t="s">
        <v>384</v>
      </c>
      <c r="B960" t="s">
        <v>385</v>
      </c>
      <c r="C960" t="s">
        <v>375</v>
      </c>
      <c r="E960">
        <f>E955</f>
        <v>14</v>
      </c>
      <c r="F960" s="5">
        <f>F955</f>
        <v>1</v>
      </c>
    </row>
    <row r="961" spans="1:6" x14ac:dyDescent="0.25">
      <c r="A961" s="5" t="s">
        <v>370</v>
      </c>
      <c r="B961" t="s">
        <v>387</v>
      </c>
      <c r="D961" s="5"/>
      <c r="E961" s="5">
        <f>E956</f>
        <v>0</v>
      </c>
      <c r="F961" s="5">
        <f>F956</f>
        <v>0</v>
      </c>
    </row>
    <row r="962" spans="1:6" x14ac:dyDescent="0.25">
      <c r="A962" t="s">
        <v>386</v>
      </c>
      <c r="B962" t="s">
        <v>387</v>
      </c>
      <c r="C962" t="s">
        <v>372</v>
      </c>
      <c r="E962">
        <f>E957</f>
        <v>0</v>
      </c>
      <c r="F962" s="5">
        <f>F957</f>
        <v>0</v>
      </c>
    </row>
    <row r="963" spans="1:6" x14ac:dyDescent="0.25">
      <c r="A963" t="s">
        <v>386</v>
      </c>
      <c r="B963" t="s">
        <v>387</v>
      </c>
      <c r="C963" t="s">
        <v>373</v>
      </c>
      <c r="E963">
        <f>E958</f>
        <v>4</v>
      </c>
      <c r="F963" s="5">
        <f>F958</f>
        <v>0.2857142857142857</v>
      </c>
    </row>
    <row r="964" spans="1:6" x14ac:dyDescent="0.25">
      <c r="A964" t="s">
        <v>386</v>
      </c>
      <c r="B964" t="s">
        <v>387</v>
      </c>
      <c r="C964" t="s">
        <v>374</v>
      </c>
      <c r="E964">
        <f>E959</f>
        <v>10</v>
      </c>
      <c r="F964" s="5">
        <f>F959</f>
        <v>0.7142857142857143</v>
      </c>
    </row>
    <row r="965" spans="1:6" x14ac:dyDescent="0.25">
      <c r="A965" t="s">
        <v>386</v>
      </c>
      <c r="B965" t="s">
        <v>387</v>
      </c>
      <c r="C965" t="s">
        <v>375</v>
      </c>
      <c r="E965">
        <f>E960</f>
        <v>14</v>
      </c>
      <c r="F965" s="5">
        <f>F960</f>
        <v>1</v>
      </c>
    </row>
    <row r="966" spans="1:6" x14ac:dyDescent="0.25">
      <c r="A966" s="5" t="s">
        <v>370</v>
      </c>
      <c r="B966" t="s">
        <v>389</v>
      </c>
      <c r="D966" s="5"/>
      <c r="E966" s="5">
        <f>E961</f>
        <v>0</v>
      </c>
      <c r="F966" s="5">
        <f>F961</f>
        <v>0</v>
      </c>
    </row>
    <row r="967" spans="1:6" x14ac:dyDescent="0.25">
      <c r="A967" t="s">
        <v>388</v>
      </c>
      <c r="B967" t="s">
        <v>389</v>
      </c>
      <c r="C967" t="s">
        <v>372</v>
      </c>
      <c r="E967">
        <f t="shared" ref="E967:F970" si="95">E962</f>
        <v>0</v>
      </c>
      <c r="F967" s="5">
        <f t="shared" si="95"/>
        <v>0</v>
      </c>
    </row>
    <row r="968" spans="1:6" x14ac:dyDescent="0.25">
      <c r="A968" t="s">
        <v>388</v>
      </c>
      <c r="B968" t="s">
        <v>389</v>
      </c>
      <c r="C968" t="s">
        <v>373</v>
      </c>
      <c r="E968">
        <f t="shared" si="95"/>
        <v>4</v>
      </c>
      <c r="F968" s="5">
        <f t="shared" si="95"/>
        <v>0.2857142857142857</v>
      </c>
    </row>
    <row r="969" spans="1:6" x14ac:dyDescent="0.25">
      <c r="A969" t="s">
        <v>388</v>
      </c>
      <c r="B969" t="s">
        <v>389</v>
      </c>
      <c r="C969" t="s">
        <v>374</v>
      </c>
      <c r="E969">
        <f t="shared" si="95"/>
        <v>10</v>
      </c>
      <c r="F969" s="5">
        <f t="shared" si="95"/>
        <v>0.7142857142857143</v>
      </c>
    </row>
    <row r="970" spans="1:6" x14ac:dyDescent="0.25">
      <c r="A970" t="s">
        <v>388</v>
      </c>
      <c r="B970" t="s">
        <v>389</v>
      </c>
      <c r="C970" t="s">
        <v>375</v>
      </c>
      <c r="E970">
        <f t="shared" si="95"/>
        <v>14</v>
      </c>
      <c r="F970" s="5">
        <f t="shared" si="95"/>
        <v>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preset_levels_ordinal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patel</dc:creator>
  <cp:lastModifiedBy>ravi patel</cp:lastModifiedBy>
  <dcterms:created xsi:type="dcterms:W3CDTF">2020-10-28T21:34:21Z</dcterms:created>
  <dcterms:modified xsi:type="dcterms:W3CDTF">2020-11-01T07:19:18Z</dcterms:modified>
</cp:coreProperties>
</file>